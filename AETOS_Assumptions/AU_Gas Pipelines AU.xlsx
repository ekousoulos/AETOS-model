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3C70EA58-0D0B-4ADA-B821-A5D840FDD86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C16" i="1" l="1"/>
  <c r="C20" i="1"/>
  <c r="C18" i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I14" authorId="0" shapeId="0" xr:uid="{5A455610-B630-431D-973D-AECD68B01784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its 38.2</t>
        </r>
      </text>
    </comment>
    <comment ref="W14" authorId="0" shapeId="0" xr:uid="{64496350-F315-441C-AA5D-B8F20B06B426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Updated Capacity in bcm</t>
        </r>
      </text>
    </comment>
  </commentList>
</comments>
</file>

<file path=xl/sharedStrings.xml><?xml version="1.0" encoding="utf-8"?>
<sst xmlns="http://schemas.openxmlformats.org/spreadsheetml/2006/main" count="93" uniqueCount="62">
  <si>
    <t>Infobox</t>
  </si>
  <si>
    <t>Country 1 &gt; Country 2</t>
  </si>
  <si>
    <t>Source:</t>
  </si>
  <si>
    <t>Comments:</t>
  </si>
  <si>
    <t>TYNDP 2022 - CH4 Capacities per Country (Transmission Peak Capacity sheet, Advanced Level 2</t>
  </si>
  <si>
    <t>Natural Gas Pipelines Capacity Existing and Planned AU</t>
  </si>
  <si>
    <t>Nigeria - Benin</t>
  </si>
  <si>
    <t>Nigeria - Ghana</t>
  </si>
  <si>
    <t>Nigeria - Niger</t>
  </si>
  <si>
    <t>Nigeria - Togo</t>
  </si>
  <si>
    <t>Algeria - Tunisia</t>
  </si>
  <si>
    <t>Egypt - Turkey</t>
  </si>
  <si>
    <t>Algeria - Marocco</t>
  </si>
  <si>
    <t>Mozambique - South Africa</t>
  </si>
  <si>
    <t>Energy projections for African countries (p.95)</t>
  </si>
  <si>
    <t>Ethiopia - Djibouti</t>
  </si>
  <si>
    <t>Comments</t>
  </si>
  <si>
    <t>https://www.gem.wiki/Ethiopia%E2%80%93Djibouti_Gas_Pipeline</t>
  </si>
  <si>
    <t>Year</t>
  </si>
  <si>
    <t>Nigeria - Algeria</t>
  </si>
  <si>
    <t>30 bil.cub.litres</t>
  </si>
  <si>
    <t>139.6 GW</t>
  </si>
  <si>
    <t>African Rennaisance Pipeline Completion 2026</t>
  </si>
  <si>
    <t>GW -&gt; PJ</t>
  </si>
  <si>
    <t>Existing Capacity TEMBA (PJ)</t>
  </si>
  <si>
    <t>5bcm</t>
  </si>
  <si>
    <t>West African Gas Pipeline</t>
  </si>
  <si>
    <t>BCF&gt;PJ</t>
  </si>
  <si>
    <t>BCM&gt;PJ</t>
  </si>
  <si>
    <t>Planned/Candidate Capacity TEMBA</t>
  </si>
  <si>
    <t>Nigeria - Morocco</t>
  </si>
  <si>
    <t>30 bcm</t>
  </si>
  <si>
    <t>https://www.gem.wiki/Nigeria-Morocco_Gas_Pipeline</t>
  </si>
  <si>
    <t>Transaharan Pipeline</t>
  </si>
  <si>
    <t>BCL&gt;PJ</t>
  </si>
  <si>
    <t>Removed the AU-EU of TEMBA and added the new data from TYNDP from EU (check EU Pipelines)</t>
  </si>
  <si>
    <t>33.5bcm</t>
  </si>
  <si>
    <t>10bcm</t>
  </si>
  <si>
    <t>12bcm</t>
  </si>
  <si>
    <t>30bcm</t>
  </si>
  <si>
    <t>Existing Capacity TEMBA (bcm)</t>
  </si>
  <si>
    <t>Nigeria - Libya</t>
  </si>
  <si>
    <t>Algeria-Italy</t>
  </si>
  <si>
    <t>https://www.gem.wiki/GALSI_Pipeline</t>
  </si>
  <si>
    <t>8bcm</t>
  </si>
  <si>
    <t>Nigeria - Equatorial Guinea</t>
  </si>
  <si>
    <t>https://globalenergymonitor.org/projects/global-gas-infrastructure-tracker/tracker/</t>
  </si>
  <si>
    <t>Tanzania - Kenya</t>
  </si>
  <si>
    <t>https://www.gem.wiki/Tanzania%E2%80%93Kenya_Gas_Pipeline</t>
  </si>
  <si>
    <t>Cyprus - Egypt</t>
  </si>
  <si>
    <t>https://www.gem.wiki/Cyprus%E2%80%93Egypt_Gas_Pipeline</t>
  </si>
  <si>
    <t>assuming 8bcm</t>
  </si>
  <si>
    <t>Candidate Capacity TEMBA (PJ)</t>
  </si>
  <si>
    <t>Planned Capacity TEMBA</t>
  </si>
  <si>
    <t>Algeria - Italy</t>
  </si>
  <si>
    <t>Existing Capacity AU-EU TYNDP 2024 EU(PJ)</t>
  </si>
  <si>
    <t>Algeria - Spain</t>
  </si>
  <si>
    <t>Planned Capacity AU-EU TYNDP 2024 EU(PJ)</t>
  </si>
  <si>
    <t>Libya - Italy</t>
  </si>
  <si>
    <t>Morocco - Spain</t>
  </si>
  <si>
    <t>AU-EU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</si>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</sst>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0" xfId="1" applyFill="1" applyBorder="1" applyAlignment="1">
      <alignment vertical="top" wrapText="1"/>
    </xf>
    <xf numFmtId="0" fontId="0" fillId="0" borderId="0" xfId="0" applyFill="1"/>
    <xf numFmtId="0" fontId="5" fillId="2" borderId="3" xfId="1" applyFill="1" applyBorder="1" applyAlignment="1">
      <alignment vertical="top"/>
    </xf>
    <xf numFmtId="0" fontId="1" fillId="2" borderId="0" xfId="0" applyFont="1" applyFill="1" applyBorder="1"/>
    <xf numFmtId="0" fontId="1" fillId="2" borderId="1" xfId="0" applyFont="1" applyFill="1" applyBorder="1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Fill="1"/>
    <xf numFmtId="0" fontId="3" fillId="0" borderId="0" xfId="0" applyFont="1" applyFill="1"/>
    <xf numFmtId="2" fontId="5" fillId="0" borderId="0" xfId="1" applyNumberFormat="1"/>
    <xf numFmtId="0" fontId="1" fillId="4" borderId="0" xfId="0" applyFont="1" applyFill="1"/>
    <xf numFmtId="0" fontId="3" fillId="4" borderId="0" xfId="0" applyFont="1" applyFill="1"/>
    <xf numFmtId="0" fontId="5" fillId="0" borderId="0" xfId="1" applyFill="1"/>
    <xf numFmtId="0" fontId="0" fillId="5" borderId="0" xfId="0" applyFill="1"/>
    <xf numFmtId="0" fontId="5" fillId="0" borderId="0" xfId="1"/>
    <xf numFmtId="0" fontId="0" fillId="6" borderId="0" xfId="0" applyFill="1"/>
    <xf numFmtId="1" fontId="0" fillId="0" borderId="0" xfId="0" applyNumberFormat="1"/>
    <xf numFmtId="0" fontId="1" fillId="7" borderId="0" xfId="0" applyFont="1" applyFill="1"/>
    <xf numFmtId="0" fontId="3" fillId="7" borderId="0" xfId="0" applyFont="1" applyFill="1"/>
    <xf numFmtId="2" fontId="0" fillId="0" borderId="0" xfId="0" applyNumberFormat="1" applyFill="1" applyAlignment="1">
      <alignment horizontal="right"/>
    </xf>
    <xf numFmtId="0" fontId="0" fillId="8" borderId="0" xfId="0" applyFill="1"/>
    <xf numFmtId="1" fontId="0" fillId="8" borderId="0" xfId="0" applyNumberFormat="1" applyFill="1"/>
    <xf numFmtId="164" fontId="0" fillId="8" borderId="0" xfId="0" applyNumberForma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energycapitalpower.com/the-african-renaissance-pipeline-project-linking-mozambique-with-the-wider-region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ublications.jrc.ec.europa.eu/repository/handle/JRC118432" TargetMode="External"/><Relationship Id="rId1" Type="http://schemas.openxmlformats.org/officeDocument/2006/relationships/hyperlink" Target="https://tyndp2022.entsog.eu/downloads/" TargetMode="External"/><Relationship Id="rId6" Type="http://schemas.openxmlformats.org/officeDocument/2006/relationships/hyperlink" Target="https://www.gem.wiki/Cyprus%E2%80%93Egypt_Gas_Pipeline" TargetMode="External"/><Relationship Id="rId5" Type="http://schemas.openxmlformats.org/officeDocument/2006/relationships/hyperlink" Target="https://northafricapost.com/86822-niamey-abandons-algeria-niger-pipeline.html" TargetMode="External"/><Relationship Id="rId4" Type="http://schemas.openxmlformats.org/officeDocument/2006/relationships/hyperlink" Target="https://en.wikipedia.org/wiki/West_African_Gas_Pipeline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48"/>
  <sheetViews>
    <sheetView tabSelected="1" zoomScale="62" zoomScaleNormal="100" workbookViewId="0">
      <selection activeCell="D23" sqref="D23"/>
    </sheetView>
  </sheetViews>
  <sheetFormatPr defaultRowHeight="14.4" x14ac:dyDescent="0.3"/>
  <cols>
    <col min="2" max="2" width="18.88671875" customWidth="1"/>
    <col min="3" max="3" width="8.21875" bestFit="1" customWidth="1"/>
    <col min="4" max="4" width="7.77734375" bestFit="1" customWidth="1"/>
    <col min="5" max="5" width="19.21875" customWidth="1"/>
    <col min="6" max="6" width="8.77734375" bestFit="1" customWidth="1"/>
    <col min="7" max="7" width="5.5546875" bestFit="1" customWidth="1"/>
    <col min="8" max="8" width="7.6640625" hidden="1" customWidth="1"/>
    <col min="9" max="9" width="13.21875" hidden="1" customWidth="1"/>
    <col min="10" max="10" width="7.77734375" customWidth="1"/>
    <col min="11" max="11" width="32.109375" hidden="1" customWidth="1"/>
    <col min="12" max="12" width="11.5546875" hidden="1" customWidth="1"/>
    <col min="13" max="13" width="7" hidden="1" customWidth="1"/>
    <col min="14" max="14" width="27.21875" hidden="1" customWidth="1"/>
    <col min="15" max="15" width="27.77734375" bestFit="1" customWidth="1"/>
    <col min="16" max="16" width="8.21875" customWidth="1"/>
    <col min="17" max="17" width="5.5546875" bestFit="1" customWidth="1"/>
    <col min="22" max="22" width="27.44140625" hidden="1" customWidth="1"/>
    <col min="23" max="23" width="0" hidden="1" customWidth="1"/>
  </cols>
  <sheetData>
    <row r="2" spans="1:23" ht="28.8" x14ac:dyDescent="0.55000000000000004">
      <c r="B2" s="3" t="s">
        <v>5</v>
      </c>
      <c r="C2" s="4"/>
      <c r="D2" s="4"/>
      <c r="E2" s="4"/>
      <c r="F2" s="4"/>
      <c r="G2" s="4"/>
      <c r="H2" s="1"/>
      <c r="I2" s="1"/>
      <c r="J2" s="1"/>
    </row>
    <row r="3" spans="1:23" x14ac:dyDescent="0.3">
      <c r="A3" s="2"/>
      <c r="B3" s="39" t="s">
        <v>0</v>
      </c>
      <c r="C3" s="40"/>
      <c r="D3" s="40"/>
      <c r="E3" s="40"/>
      <c r="F3" s="40"/>
      <c r="G3" s="41"/>
      <c r="H3" s="20"/>
    </row>
    <row r="4" spans="1:23" x14ac:dyDescent="0.3">
      <c r="A4" s="2"/>
      <c r="B4" s="13" t="s">
        <v>2</v>
      </c>
      <c r="C4" s="17"/>
      <c r="D4" s="17"/>
      <c r="E4" s="17"/>
      <c r="F4" s="17"/>
      <c r="G4" s="18"/>
      <c r="H4" s="20"/>
    </row>
    <row r="5" spans="1:23" x14ac:dyDescent="0.3">
      <c r="A5" s="2"/>
      <c r="B5" s="16" t="s">
        <v>4</v>
      </c>
      <c r="C5" s="7"/>
      <c r="D5" s="7"/>
      <c r="E5" s="7"/>
      <c r="F5" s="7"/>
      <c r="G5" s="5"/>
      <c r="H5" s="21"/>
    </row>
    <row r="6" spans="1:23" x14ac:dyDescent="0.3">
      <c r="A6" s="2"/>
      <c r="B6" s="16" t="s">
        <v>14</v>
      </c>
      <c r="C6" s="7"/>
      <c r="D6" s="7"/>
      <c r="E6" s="7"/>
      <c r="F6" s="7"/>
      <c r="G6" s="5"/>
      <c r="H6" s="21"/>
    </row>
    <row r="7" spans="1:23" x14ac:dyDescent="0.3">
      <c r="A7" s="2"/>
      <c r="B7" s="16" t="s">
        <v>26</v>
      </c>
      <c r="C7" s="7"/>
      <c r="D7" s="7"/>
      <c r="E7" s="7"/>
      <c r="F7" s="7"/>
      <c r="G7" s="5"/>
      <c r="H7" s="21"/>
    </row>
    <row r="8" spans="1:23" x14ac:dyDescent="0.3">
      <c r="A8" s="2"/>
      <c r="B8" s="13" t="s">
        <v>3</v>
      </c>
      <c r="C8" s="14"/>
      <c r="D8" s="7"/>
      <c r="E8" s="7"/>
      <c r="F8" s="7"/>
      <c r="G8" s="5"/>
      <c r="H8" s="21"/>
    </row>
    <row r="9" spans="1:23" x14ac:dyDescent="0.3">
      <c r="A9" s="2"/>
      <c r="B9" s="6" t="s">
        <v>35</v>
      </c>
      <c r="C9" s="7"/>
      <c r="D9" s="7"/>
      <c r="E9" s="7"/>
      <c r="F9" s="7"/>
      <c r="G9" s="5"/>
      <c r="H9" s="21"/>
    </row>
    <row r="10" spans="1:23" x14ac:dyDescent="0.3">
      <c r="A10" s="2"/>
      <c r="B10" s="8"/>
      <c r="C10" s="9"/>
      <c r="D10" s="9"/>
      <c r="E10" s="9"/>
      <c r="F10" s="9"/>
      <c r="G10" s="10"/>
      <c r="H10" s="21"/>
    </row>
    <row r="12" spans="1:23" x14ac:dyDescent="0.3">
      <c r="B12" s="11" t="s">
        <v>24</v>
      </c>
      <c r="C12" s="12"/>
      <c r="E12" s="26" t="s">
        <v>53</v>
      </c>
      <c r="F12" s="27"/>
      <c r="G12" s="26"/>
      <c r="H12" t="s">
        <v>23</v>
      </c>
      <c r="I12">
        <v>31.536000000000001</v>
      </c>
      <c r="K12" s="26" t="s">
        <v>29</v>
      </c>
      <c r="L12" s="27"/>
      <c r="M12" s="27"/>
      <c r="O12" s="33" t="s">
        <v>52</v>
      </c>
      <c r="P12" s="34"/>
      <c r="Q12" s="34"/>
      <c r="S12" s="36"/>
      <c r="T12" s="15" t="s">
        <v>60</v>
      </c>
      <c r="V12" s="11" t="s">
        <v>40</v>
      </c>
      <c r="W12" s="12"/>
    </row>
    <row r="13" spans="1:23" x14ac:dyDescent="0.3">
      <c r="B13" s="11" t="s">
        <v>1</v>
      </c>
      <c r="C13" s="11" t="s">
        <v>61</v>
      </c>
      <c r="E13" s="26" t="s">
        <v>1</v>
      </c>
      <c r="F13" s="26" t="s">
        <v>61</v>
      </c>
      <c r="G13" s="26" t="s">
        <v>18</v>
      </c>
      <c r="H13" s="15" t="s">
        <v>27</v>
      </c>
      <c r="I13" s="15">
        <v>1.0960000000000001</v>
      </c>
      <c r="J13" s="15"/>
      <c r="K13" s="26" t="s">
        <v>1</v>
      </c>
      <c r="L13" s="26" t="s">
        <v>18</v>
      </c>
      <c r="M13" s="26" t="s">
        <v>16</v>
      </c>
      <c r="N13" s="24"/>
      <c r="O13" s="33" t="s">
        <v>1</v>
      </c>
      <c r="P13" s="33" t="s">
        <v>61</v>
      </c>
      <c r="Q13" s="33" t="s">
        <v>18</v>
      </c>
      <c r="V13" s="11" t="s">
        <v>1</v>
      </c>
      <c r="W13" s="11">
        <v>2021</v>
      </c>
    </row>
    <row r="14" spans="1:23" x14ac:dyDescent="0.3">
      <c r="B14" t="s">
        <v>6</v>
      </c>
      <c r="C14" s="23">
        <v>175.85</v>
      </c>
      <c r="E14" s="15" t="s">
        <v>30</v>
      </c>
      <c r="F14" s="15">
        <f>30*$I$14</f>
        <v>1140</v>
      </c>
      <c r="G14" s="32">
        <v>2046</v>
      </c>
      <c r="H14" s="28" t="s">
        <v>28</v>
      </c>
      <c r="I14" s="29">
        <v>38</v>
      </c>
      <c r="J14" s="15"/>
      <c r="K14" t="s">
        <v>19</v>
      </c>
      <c r="L14" s="22" t="s">
        <v>20</v>
      </c>
      <c r="M14" s="28" t="s">
        <v>33</v>
      </c>
      <c r="N14" s="19"/>
      <c r="O14" t="s">
        <v>19</v>
      </c>
      <c r="P14" s="32">
        <v>645</v>
      </c>
      <c r="Q14" s="32">
        <v>2040</v>
      </c>
      <c r="V14" t="s">
        <v>6</v>
      </c>
      <c r="W14" s="35" t="s">
        <v>25</v>
      </c>
    </row>
    <row r="15" spans="1:23" x14ac:dyDescent="0.3">
      <c r="B15" t="s">
        <v>7</v>
      </c>
      <c r="C15" s="23">
        <v>175.85</v>
      </c>
      <c r="H15" s="15" t="s">
        <v>34</v>
      </c>
      <c r="I15" s="15">
        <v>21.5</v>
      </c>
      <c r="J15" s="15"/>
      <c r="K15" t="s">
        <v>13</v>
      </c>
      <c r="L15" s="22" t="s">
        <v>21</v>
      </c>
      <c r="M15" s="25" t="s">
        <v>22</v>
      </c>
      <c r="N15" s="22"/>
      <c r="O15" t="s">
        <v>13</v>
      </c>
      <c r="P15" s="32">
        <v>4402.9839999999995</v>
      </c>
      <c r="Q15" s="32">
        <v>2035</v>
      </c>
      <c r="V15" t="s">
        <v>7</v>
      </c>
      <c r="W15" s="35" t="s">
        <v>25</v>
      </c>
    </row>
    <row r="16" spans="1:23" x14ac:dyDescent="0.3">
      <c r="B16" t="s">
        <v>8</v>
      </c>
      <c r="C16" s="23">
        <f>30*I14</f>
        <v>1140</v>
      </c>
      <c r="H16" s="15"/>
      <c r="I16" s="23"/>
      <c r="J16" s="23"/>
      <c r="K16" s="15" t="s">
        <v>30</v>
      </c>
      <c r="L16" s="22" t="s">
        <v>31</v>
      </c>
      <c r="M16" t="s">
        <v>32</v>
      </c>
      <c r="N16" s="22"/>
      <c r="O16" s="22" t="s">
        <v>41</v>
      </c>
      <c r="P16" s="32">
        <v>1140</v>
      </c>
      <c r="Q16" s="32">
        <v>2035</v>
      </c>
      <c r="V16" t="s">
        <v>8</v>
      </c>
      <c r="W16" s="35" t="s">
        <v>39</v>
      </c>
    </row>
    <row r="17" spans="2:23" x14ac:dyDescent="0.3">
      <c r="B17" t="s">
        <v>9</v>
      </c>
      <c r="C17" s="23">
        <v>175.85</v>
      </c>
      <c r="H17" s="15"/>
      <c r="I17" s="15"/>
      <c r="J17" s="15"/>
      <c r="K17" s="22" t="s">
        <v>15</v>
      </c>
      <c r="L17" s="22" t="s">
        <v>38</v>
      </c>
      <c r="M17" s="22" t="s">
        <v>17</v>
      </c>
      <c r="N17" s="22"/>
      <c r="O17" s="22" t="s">
        <v>15</v>
      </c>
      <c r="P17" s="32">
        <v>456</v>
      </c>
      <c r="Q17" s="32">
        <v>2035</v>
      </c>
      <c r="V17" t="s">
        <v>9</v>
      </c>
      <c r="W17" s="35" t="s">
        <v>25</v>
      </c>
    </row>
    <row r="18" spans="2:23" x14ac:dyDescent="0.3">
      <c r="B18" t="s">
        <v>10</v>
      </c>
      <c r="C18" s="23">
        <f>33.5*I14</f>
        <v>1273</v>
      </c>
      <c r="K18" s="15" t="s">
        <v>42</v>
      </c>
      <c r="L18" s="22" t="s">
        <v>44</v>
      </c>
      <c r="M18" t="s">
        <v>43</v>
      </c>
      <c r="N18" s="23"/>
      <c r="O18" s="15" t="s">
        <v>45</v>
      </c>
      <c r="P18" s="32">
        <v>304</v>
      </c>
      <c r="Q18" s="32">
        <v>2035</v>
      </c>
      <c r="V18" t="s">
        <v>10</v>
      </c>
      <c r="W18" s="35" t="s">
        <v>36</v>
      </c>
    </row>
    <row r="19" spans="2:23" x14ac:dyDescent="0.3">
      <c r="B19" s="15" t="s">
        <v>11</v>
      </c>
      <c r="C19" s="23">
        <f>10*I14</f>
        <v>380</v>
      </c>
      <c r="K19" s="15" t="s">
        <v>45</v>
      </c>
      <c r="L19" s="31" t="s">
        <v>51</v>
      </c>
      <c r="M19" t="s">
        <v>46</v>
      </c>
      <c r="N19" s="22"/>
      <c r="O19" s="15" t="s">
        <v>47</v>
      </c>
      <c r="P19" s="32">
        <v>304</v>
      </c>
      <c r="Q19" s="32">
        <v>2035</v>
      </c>
      <c r="V19" s="15" t="s">
        <v>11</v>
      </c>
      <c r="W19" s="35" t="s">
        <v>37</v>
      </c>
    </row>
    <row r="20" spans="2:23" x14ac:dyDescent="0.3">
      <c r="B20" t="s">
        <v>12</v>
      </c>
      <c r="C20" s="23">
        <f>12*I14</f>
        <v>456</v>
      </c>
      <c r="D20" s="22"/>
      <c r="K20" s="15" t="s">
        <v>47</v>
      </c>
      <c r="L20" s="31" t="s">
        <v>51</v>
      </c>
      <c r="M20" t="s">
        <v>48</v>
      </c>
      <c r="O20" s="36" t="s">
        <v>49</v>
      </c>
      <c r="P20" s="37">
        <v>304</v>
      </c>
      <c r="Q20" s="37">
        <v>2035</v>
      </c>
      <c r="V20" t="s">
        <v>12</v>
      </c>
      <c r="W20" s="35" t="s">
        <v>38</v>
      </c>
    </row>
    <row r="21" spans="2:23" x14ac:dyDescent="0.3">
      <c r="B21" s="22" t="s">
        <v>13</v>
      </c>
      <c r="C21" s="22">
        <v>212</v>
      </c>
      <c r="D21" s="22"/>
      <c r="I21" s="22"/>
      <c r="J21" s="22"/>
      <c r="K21" s="15" t="s">
        <v>49</v>
      </c>
      <c r="L21" s="22" t="s">
        <v>44</v>
      </c>
      <c r="M21" s="30" t="s">
        <v>50</v>
      </c>
      <c r="O21" s="36" t="s">
        <v>42</v>
      </c>
      <c r="P21" s="37">
        <v>304</v>
      </c>
      <c r="Q21" s="37">
        <v>2035</v>
      </c>
    </row>
    <row r="22" spans="2:23" x14ac:dyDescent="0.3">
      <c r="O22" s="15"/>
      <c r="P22" s="15"/>
    </row>
    <row r="23" spans="2:23" x14ac:dyDescent="0.3">
      <c r="L23" s="15"/>
      <c r="M23" s="15"/>
      <c r="N23" s="15"/>
      <c r="O23" s="15"/>
      <c r="P23" s="15"/>
    </row>
    <row r="24" spans="2:23" x14ac:dyDescent="0.3">
      <c r="L24" s="15"/>
      <c r="M24" s="15"/>
      <c r="N24" s="15"/>
      <c r="O24" s="15"/>
      <c r="P24" s="15"/>
    </row>
    <row r="25" spans="2:23" x14ac:dyDescent="0.3">
      <c r="L25" s="15"/>
      <c r="M25" s="15"/>
      <c r="N25" s="15"/>
      <c r="O25" s="15"/>
      <c r="P25" s="15"/>
    </row>
    <row r="26" spans="2:23" x14ac:dyDescent="0.3">
      <c r="E26" s="22"/>
      <c r="F26" s="22"/>
      <c r="L26" s="15"/>
      <c r="M26" s="15"/>
      <c r="N26" s="15"/>
      <c r="O26" s="15"/>
      <c r="P26" s="15"/>
    </row>
    <row r="27" spans="2:23" x14ac:dyDescent="0.3">
      <c r="B27" s="11" t="s">
        <v>55</v>
      </c>
      <c r="C27" s="12"/>
      <c r="D27" s="11"/>
      <c r="E27" s="11"/>
      <c r="F27" s="11"/>
      <c r="L27" s="15"/>
      <c r="M27" s="15"/>
      <c r="N27" s="15"/>
      <c r="O27" s="15"/>
      <c r="P27" s="15"/>
    </row>
    <row r="28" spans="2:23" x14ac:dyDescent="0.3">
      <c r="B28" s="11" t="s">
        <v>1</v>
      </c>
      <c r="C28" s="11">
        <v>2021</v>
      </c>
      <c r="D28" s="11">
        <v>2030</v>
      </c>
      <c r="E28" s="11">
        <v>2040</v>
      </c>
      <c r="F28" s="11">
        <v>2050</v>
      </c>
      <c r="L28" s="15"/>
      <c r="M28" s="15"/>
      <c r="N28" s="15"/>
      <c r="O28" s="15"/>
      <c r="P28" s="15"/>
    </row>
    <row r="29" spans="2:23" x14ac:dyDescent="0.3">
      <c r="B29" s="36" t="s">
        <v>54</v>
      </c>
      <c r="C29" s="38">
        <v>1204.18</v>
      </c>
      <c r="D29" s="38">
        <v>2358.65</v>
      </c>
      <c r="E29" s="38">
        <v>3513.12</v>
      </c>
      <c r="F29" s="38">
        <v>4667.59</v>
      </c>
      <c r="L29" s="15"/>
      <c r="M29" s="15"/>
      <c r="N29" s="15"/>
      <c r="O29" s="15"/>
      <c r="P29" s="15"/>
    </row>
    <row r="30" spans="2:23" x14ac:dyDescent="0.3">
      <c r="B30" s="36" t="s">
        <v>56</v>
      </c>
      <c r="C30" s="38">
        <v>337.12347799999998</v>
      </c>
      <c r="D30" s="38">
        <v>674.24347799999998</v>
      </c>
      <c r="E30" s="38">
        <v>1011.363478</v>
      </c>
      <c r="F30" s="38">
        <v>1348.4834780000001</v>
      </c>
      <c r="L30" s="15"/>
      <c r="M30" s="15"/>
      <c r="N30" s="15"/>
      <c r="O30" s="15"/>
      <c r="P30" s="15"/>
    </row>
    <row r="31" spans="2:23" x14ac:dyDescent="0.3">
      <c r="C31" s="22"/>
      <c r="D31" s="22"/>
      <c r="E31" s="22"/>
      <c r="F31" s="22"/>
      <c r="L31" s="15"/>
      <c r="M31" s="15"/>
      <c r="N31" s="15"/>
      <c r="O31" s="15"/>
      <c r="P31" s="15"/>
    </row>
    <row r="32" spans="2:23" x14ac:dyDescent="0.3">
      <c r="B32" s="26" t="s">
        <v>57</v>
      </c>
      <c r="C32" s="26"/>
      <c r="D32" s="26"/>
      <c r="E32" s="26"/>
      <c r="F32" s="26"/>
      <c r="L32" s="15"/>
      <c r="M32" s="15"/>
      <c r="N32" s="15"/>
      <c r="O32" s="15"/>
      <c r="P32" s="15"/>
    </row>
    <row r="33" spans="2:16" x14ac:dyDescent="0.3">
      <c r="B33" s="26" t="s">
        <v>1</v>
      </c>
      <c r="C33" s="26">
        <v>2021</v>
      </c>
      <c r="D33" s="26">
        <v>2030</v>
      </c>
      <c r="E33" s="26">
        <v>2040</v>
      </c>
      <c r="F33" s="26">
        <v>2050</v>
      </c>
      <c r="L33" s="15"/>
      <c r="M33" s="15"/>
      <c r="N33" s="15"/>
      <c r="O33" s="15"/>
      <c r="P33" s="15"/>
    </row>
    <row r="34" spans="2:16" x14ac:dyDescent="0.3">
      <c r="B34" s="36" t="s">
        <v>58</v>
      </c>
      <c r="C34" s="36">
        <v>0</v>
      </c>
      <c r="D34" s="36">
        <v>493.74</v>
      </c>
      <c r="E34" s="36">
        <v>987.48</v>
      </c>
      <c r="F34" s="36">
        <v>1481.22</v>
      </c>
      <c r="L34" s="15"/>
      <c r="M34" s="15"/>
      <c r="N34" s="15"/>
      <c r="O34" s="15"/>
      <c r="P34" s="15"/>
    </row>
    <row r="35" spans="2:16" x14ac:dyDescent="0.3">
      <c r="B35" s="36" t="s">
        <v>59</v>
      </c>
      <c r="C35" s="36">
        <v>0</v>
      </c>
      <c r="D35" s="36">
        <v>442.85</v>
      </c>
      <c r="E35" s="36">
        <v>885.7</v>
      </c>
      <c r="F35" s="36">
        <v>1328.55</v>
      </c>
      <c r="L35" s="15"/>
      <c r="M35" s="15"/>
      <c r="N35" s="15"/>
      <c r="O35" s="15"/>
      <c r="P35" s="15"/>
    </row>
    <row r="36" spans="2:16" x14ac:dyDescent="0.3">
      <c r="C36" s="22"/>
      <c r="D36" s="22"/>
      <c r="E36" s="22"/>
      <c r="F36" s="22"/>
      <c r="L36" s="15"/>
      <c r="M36" s="15"/>
      <c r="N36" s="15"/>
      <c r="O36" s="15"/>
      <c r="P36" s="15"/>
    </row>
    <row r="37" spans="2:16" x14ac:dyDescent="0.3">
      <c r="C37" s="22"/>
      <c r="D37" s="22"/>
      <c r="E37" s="22"/>
      <c r="F37" s="22"/>
      <c r="L37" s="15"/>
      <c r="M37" s="15"/>
      <c r="N37" s="15"/>
      <c r="O37" s="15"/>
      <c r="P37" s="15"/>
    </row>
    <row r="38" spans="2:16" x14ac:dyDescent="0.3">
      <c r="C38" s="22"/>
      <c r="D38" s="22"/>
      <c r="E38" s="22"/>
      <c r="F38" s="22"/>
      <c r="L38" s="15"/>
      <c r="M38" s="15"/>
      <c r="N38" s="15"/>
      <c r="O38" s="15"/>
      <c r="P38" s="15"/>
    </row>
    <row r="39" spans="2:16" x14ac:dyDescent="0.3">
      <c r="C39" s="22"/>
      <c r="D39" s="22"/>
      <c r="E39" s="22"/>
      <c r="F39" s="22"/>
      <c r="L39" s="15"/>
      <c r="M39" s="15"/>
      <c r="N39" s="15"/>
      <c r="O39" s="15"/>
      <c r="P39" s="15"/>
    </row>
    <row r="40" spans="2:16" x14ac:dyDescent="0.3">
      <c r="C40" s="22"/>
      <c r="D40" s="22"/>
      <c r="E40" s="22"/>
      <c r="F40" s="22"/>
      <c r="L40" s="15"/>
      <c r="M40" s="15"/>
      <c r="N40" s="15"/>
      <c r="O40" s="15"/>
      <c r="P40" s="15"/>
    </row>
    <row r="41" spans="2:16" x14ac:dyDescent="0.3">
      <c r="C41" s="22"/>
      <c r="D41" s="22"/>
      <c r="E41" s="22"/>
      <c r="F41" s="22"/>
      <c r="G41" s="22"/>
      <c r="H41" s="22"/>
      <c r="I41" s="22"/>
      <c r="J41" s="22"/>
      <c r="K41" s="22"/>
      <c r="L41" s="15"/>
      <c r="M41" s="15"/>
      <c r="N41" s="15"/>
      <c r="O41" s="15"/>
      <c r="P41" s="15"/>
    </row>
    <row r="42" spans="2:16" x14ac:dyDescent="0.3">
      <c r="C42" s="22"/>
      <c r="D42" s="22"/>
      <c r="E42" s="22"/>
      <c r="F42" s="22"/>
      <c r="G42" s="22"/>
      <c r="H42" s="22"/>
      <c r="I42" s="22"/>
      <c r="J42" s="22"/>
      <c r="K42" s="22"/>
      <c r="L42" s="15"/>
      <c r="M42" s="15"/>
      <c r="N42" s="15"/>
      <c r="O42" s="15"/>
      <c r="P42" s="15"/>
    </row>
    <row r="43" spans="2:16" x14ac:dyDescent="0.3">
      <c r="C43" s="22"/>
      <c r="D43" s="22"/>
      <c r="E43" s="22"/>
      <c r="F43" s="22"/>
      <c r="G43" s="22"/>
      <c r="H43" s="22"/>
      <c r="I43" s="22"/>
      <c r="J43" s="22"/>
      <c r="K43" s="22"/>
      <c r="L43" s="15"/>
      <c r="M43" s="15"/>
      <c r="N43" s="15"/>
      <c r="O43" s="15"/>
      <c r="P43" s="15"/>
    </row>
    <row r="44" spans="2:16" x14ac:dyDescent="0.3">
      <c r="C44" s="22"/>
      <c r="D44" s="22"/>
      <c r="E44" s="22"/>
      <c r="F44" s="22"/>
      <c r="G44" s="22"/>
      <c r="H44" s="22"/>
      <c r="I44" s="22"/>
      <c r="J44" s="22"/>
      <c r="K44" s="22"/>
      <c r="L44" s="15"/>
      <c r="M44" s="15"/>
      <c r="N44" s="15"/>
      <c r="O44" s="15"/>
      <c r="P44" s="15"/>
    </row>
    <row r="45" spans="2:16" x14ac:dyDescent="0.3">
      <c r="C45" s="22"/>
      <c r="D45" s="22"/>
      <c r="E45" s="22"/>
      <c r="F45" s="22"/>
      <c r="G45" s="22"/>
      <c r="H45" s="22"/>
      <c r="I45" s="22"/>
      <c r="J45" s="22"/>
      <c r="K45" s="22"/>
      <c r="L45" s="15"/>
      <c r="M45" s="15"/>
      <c r="N45" s="15"/>
      <c r="O45" s="15"/>
      <c r="P45" s="15"/>
    </row>
    <row r="46" spans="2:16" x14ac:dyDescent="0.3">
      <c r="C46" s="22"/>
      <c r="D46" s="22"/>
      <c r="E46" s="22"/>
      <c r="F46" s="22"/>
      <c r="G46" s="22"/>
      <c r="H46" s="22"/>
      <c r="I46" s="22"/>
      <c r="J46" s="22"/>
      <c r="K46" s="22"/>
      <c r="L46" s="15"/>
      <c r="M46" s="15"/>
      <c r="N46" s="15"/>
      <c r="O46" s="15"/>
      <c r="P46" s="15"/>
    </row>
    <row r="47" spans="2:16" x14ac:dyDescent="0.3">
      <c r="C47" s="22"/>
      <c r="D47" s="22"/>
      <c r="E47" s="22"/>
      <c r="F47" s="22"/>
      <c r="G47" s="22"/>
      <c r="H47" s="22"/>
      <c r="I47" s="22"/>
      <c r="J47" s="22"/>
      <c r="K47" s="22"/>
      <c r="L47" s="15"/>
      <c r="M47" s="15"/>
      <c r="N47" s="15"/>
      <c r="O47" s="15"/>
      <c r="P47" s="15"/>
    </row>
    <row r="48" spans="2:16" x14ac:dyDescent="0.3">
      <c r="C48" s="22"/>
      <c r="D48" s="22"/>
      <c r="E48" s="22"/>
      <c r="F48" s="22"/>
      <c r="G48" s="22"/>
      <c r="H48" s="22"/>
      <c r="I48" s="22"/>
      <c r="J48" s="22"/>
      <c r="K48" s="22"/>
      <c r="L48" s="15"/>
      <c r="M48" s="15"/>
      <c r="N48" s="15"/>
      <c r="O48" s="15"/>
      <c r="P48" s="15"/>
    </row>
    <row r="49" spans="3:16" x14ac:dyDescent="0.3">
      <c r="C49" s="22"/>
      <c r="D49" s="22"/>
      <c r="E49" s="22"/>
      <c r="F49" s="22"/>
      <c r="G49" s="22"/>
      <c r="H49" s="22"/>
      <c r="I49" s="22"/>
      <c r="J49" s="22"/>
      <c r="K49" s="22"/>
      <c r="L49" s="15"/>
      <c r="M49" s="15"/>
      <c r="N49" s="15"/>
      <c r="O49" s="15"/>
      <c r="P49" s="15"/>
    </row>
    <row r="50" spans="3:16" x14ac:dyDescent="0.3">
      <c r="C50" s="22"/>
      <c r="D50" s="22"/>
      <c r="E50" s="22"/>
      <c r="F50" s="22"/>
      <c r="G50" s="22"/>
      <c r="H50" s="22"/>
      <c r="I50" s="22"/>
      <c r="J50" s="22"/>
      <c r="K50" s="22"/>
      <c r="L50" s="15"/>
      <c r="M50" s="15"/>
      <c r="N50" s="15"/>
      <c r="O50" s="15"/>
      <c r="P50" s="15"/>
    </row>
    <row r="51" spans="3:16" x14ac:dyDescent="0.3">
      <c r="C51" s="22"/>
      <c r="D51" s="22"/>
      <c r="E51" s="22"/>
      <c r="F51" s="22"/>
      <c r="G51" s="22"/>
      <c r="H51" s="22"/>
      <c r="I51" s="22"/>
      <c r="J51" s="22"/>
      <c r="K51" s="22"/>
      <c r="L51" s="15"/>
      <c r="M51" s="15"/>
      <c r="N51" s="15"/>
      <c r="O51" s="15"/>
      <c r="P51" s="15"/>
    </row>
    <row r="52" spans="3:16" x14ac:dyDescent="0.3">
      <c r="C52" s="22"/>
      <c r="D52" s="22"/>
      <c r="E52" s="22"/>
      <c r="F52" s="22"/>
      <c r="G52" s="22"/>
      <c r="H52" s="22"/>
      <c r="I52" s="22"/>
      <c r="J52" s="22"/>
      <c r="K52" s="22"/>
      <c r="L52" s="15"/>
      <c r="M52" s="15"/>
      <c r="N52" s="15"/>
      <c r="O52" s="15"/>
      <c r="P52" s="15"/>
    </row>
    <row r="53" spans="3:16" x14ac:dyDescent="0.3">
      <c r="C53" s="22"/>
      <c r="D53" s="22"/>
      <c r="E53" s="22"/>
      <c r="F53" s="22"/>
      <c r="G53" s="22"/>
      <c r="H53" s="22"/>
      <c r="I53" s="22"/>
      <c r="J53" s="22"/>
      <c r="K53" s="22"/>
      <c r="L53" s="15"/>
      <c r="M53" s="15"/>
      <c r="N53" s="15"/>
      <c r="O53" s="15"/>
      <c r="P53" s="15"/>
    </row>
    <row r="54" spans="3:16" x14ac:dyDescent="0.3">
      <c r="C54" s="22"/>
      <c r="D54" s="22"/>
      <c r="E54" s="22"/>
      <c r="F54" s="22"/>
      <c r="G54" s="22"/>
      <c r="H54" s="22"/>
      <c r="I54" s="22"/>
      <c r="J54" s="22"/>
      <c r="K54" s="22"/>
      <c r="L54" s="15"/>
      <c r="M54" s="15"/>
      <c r="N54" s="15"/>
      <c r="O54" s="15"/>
      <c r="P54" s="15"/>
    </row>
    <row r="55" spans="3:16" x14ac:dyDescent="0.3">
      <c r="C55" s="22"/>
      <c r="D55" s="22"/>
      <c r="E55" s="22"/>
      <c r="F55" s="22"/>
      <c r="G55" s="22"/>
      <c r="H55" s="22"/>
      <c r="I55" s="22"/>
      <c r="J55" s="22"/>
      <c r="K55" s="22"/>
      <c r="L55" s="15"/>
      <c r="M55" s="15"/>
      <c r="N55" s="15"/>
      <c r="O55" s="15"/>
      <c r="P55" s="15"/>
    </row>
    <row r="56" spans="3:16" x14ac:dyDescent="0.3">
      <c r="C56" s="22"/>
      <c r="D56" s="22"/>
      <c r="E56" s="22"/>
      <c r="F56" s="22"/>
      <c r="G56" s="22"/>
      <c r="H56" s="22"/>
      <c r="I56" s="22"/>
      <c r="J56" s="22"/>
      <c r="K56" s="22"/>
      <c r="L56" s="15"/>
      <c r="M56" s="15"/>
      <c r="N56" s="15"/>
      <c r="O56" s="15"/>
      <c r="P56" s="15"/>
    </row>
    <row r="57" spans="3:16" x14ac:dyDescent="0.3">
      <c r="C57" s="22"/>
      <c r="D57" s="22"/>
      <c r="E57" s="22"/>
      <c r="F57" s="22"/>
      <c r="G57" s="22"/>
      <c r="H57" s="22"/>
      <c r="I57" s="22"/>
      <c r="J57" s="22"/>
      <c r="K57" s="22"/>
      <c r="L57" s="15"/>
      <c r="M57" s="15"/>
      <c r="N57" s="15"/>
      <c r="O57" s="15"/>
      <c r="P57" s="15"/>
    </row>
    <row r="58" spans="3:16" x14ac:dyDescent="0.3">
      <c r="C58" s="22"/>
      <c r="D58" s="22"/>
      <c r="E58" s="22"/>
      <c r="F58" s="22"/>
      <c r="G58" s="22"/>
      <c r="H58" s="22"/>
      <c r="I58" s="22"/>
      <c r="J58" s="22"/>
      <c r="K58" s="22"/>
      <c r="L58" s="15"/>
      <c r="M58" s="15"/>
      <c r="N58" s="15"/>
      <c r="O58" s="15"/>
      <c r="P58" s="15"/>
    </row>
    <row r="59" spans="3:16" x14ac:dyDescent="0.3">
      <c r="C59" s="22"/>
      <c r="D59" s="22"/>
      <c r="E59" s="22"/>
      <c r="F59" s="22"/>
      <c r="G59" s="22"/>
      <c r="H59" s="22"/>
      <c r="I59" s="22"/>
      <c r="J59" s="22"/>
      <c r="K59" s="22"/>
      <c r="L59" s="15"/>
      <c r="M59" s="15"/>
      <c r="N59" s="15"/>
      <c r="O59" s="15"/>
      <c r="P59" s="15"/>
    </row>
    <row r="60" spans="3:16" x14ac:dyDescent="0.3">
      <c r="C60" s="22"/>
      <c r="D60" s="22"/>
      <c r="E60" s="22"/>
      <c r="F60" s="22"/>
      <c r="G60" s="22"/>
      <c r="H60" s="22"/>
      <c r="I60" s="22"/>
      <c r="J60" s="22"/>
      <c r="K60" s="22"/>
      <c r="L60" s="15"/>
      <c r="M60" s="15"/>
      <c r="N60" s="15"/>
      <c r="O60" s="15"/>
      <c r="P60" s="15"/>
    </row>
    <row r="61" spans="3:16" x14ac:dyDescent="0.3">
      <c r="C61" s="22"/>
      <c r="D61" s="22"/>
      <c r="E61" s="22"/>
      <c r="F61" s="22"/>
      <c r="G61" s="22"/>
      <c r="H61" s="22"/>
      <c r="I61" s="22"/>
      <c r="J61" s="22"/>
      <c r="K61" s="22"/>
      <c r="L61" s="15"/>
      <c r="M61" s="15"/>
      <c r="N61" s="15"/>
      <c r="O61" s="15"/>
      <c r="P61" s="15"/>
    </row>
    <row r="62" spans="3:16" x14ac:dyDescent="0.3">
      <c r="C62" s="22"/>
      <c r="D62" s="22"/>
      <c r="E62" s="22"/>
      <c r="F62" s="22"/>
      <c r="G62" s="22"/>
      <c r="H62" s="22"/>
      <c r="I62" s="22"/>
      <c r="J62" s="22"/>
      <c r="K62" s="22"/>
      <c r="L62" s="15"/>
      <c r="M62" s="15"/>
      <c r="N62" s="15"/>
      <c r="O62" s="15"/>
      <c r="P62" s="15"/>
    </row>
    <row r="63" spans="3:16" x14ac:dyDescent="0.3">
      <c r="C63" s="22"/>
      <c r="D63" s="22"/>
      <c r="E63" s="22"/>
      <c r="F63" s="22"/>
      <c r="G63" s="22"/>
      <c r="H63" s="22"/>
      <c r="I63" s="22"/>
      <c r="J63" s="22"/>
      <c r="K63" s="22"/>
      <c r="L63" s="15"/>
      <c r="M63" s="15"/>
      <c r="N63" s="15"/>
      <c r="O63" s="15"/>
      <c r="P63" s="15"/>
    </row>
    <row r="64" spans="3:16" x14ac:dyDescent="0.3">
      <c r="C64" s="22"/>
      <c r="D64" s="22"/>
      <c r="E64" s="22"/>
      <c r="F64" s="22"/>
      <c r="G64" s="22"/>
      <c r="H64" s="22"/>
      <c r="I64" s="22"/>
      <c r="J64" s="22"/>
      <c r="K64" s="22"/>
      <c r="L64" s="15"/>
      <c r="M64" s="15"/>
      <c r="N64" s="15"/>
      <c r="O64" s="15"/>
      <c r="P64" s="15"/>
    </row>
    <row r="65" spans="3:16" x14ac:dyDescent="0.3">
      <c r="C65" s="22"/>
      <c r="D65" s="22"/>
      <c r="E65" s="22"/>
      <c r="F65" s="22"/>
      <c r="G65" s="22"/>
      <c r="H65" s="22"/>
      <c r="I65" s="22"/>
      <c r="J65" s="22"/>
      <c r="K65" s="22"/>
      <c r="L65" s="15"/>
      <c r="M65" s="15"/>
      <c r="N65" s="15"/>
      <c r="O65" s="15"/>
      <c r="P65" s="15"/>
    </row>
    <row r="66" spans="3:16" x14ac:dyDescent="0.3">
      <c r="C66" s="22"/>
      <c r="D66" s="22"/>
      <c r="E66" s="22"/>
      <c r="F66" s="22"/>
      <c r="G66" s="22"/>
      <c r="H66" s="22"/>
      <c r="I66" s="22"/>
      <c r="J66" s="22"/>
      <c r="K66" s="22"/>
      <c r="L66" s="15"/>
      <c r="M66" s="15"/>
      <c r="N66" s="15"/>
      <c r="O66" s="15"/>
      <c r="P66" s="15"/>
    </row>
    <row r="67" spans="3:16" x14ac:dyDescent="0.3">
      <c r="C67" s="22"/>
      <c r="D67" s="22"/>
      <c r="E67" s="22"/>
      <c r="F67" s="22"/>
      <c r="G67" s="22"/>
      <c r="H67" s="22"/>
      <c r="I67" s="22"/>
      <c r="J67" s="22"/>
      <c r="K67" s="22"/>
      <c r="L67" s="15"/>
      <c r="M67" s="15"/>
      <c r="N67" s="15"/>
      <c r="O67" s="15"/>
      <c r="P67" s="15"/>
    </row>
    <row r="68" spans="3:16" x14ac:dyDescent="0.3">
      <c r="C68" s="22"/>
      <c r="D68" s="22"/>
      <c r="E68" s="22"/>
      <c r="F68" s="22"/>
      <c r="G68" s="22"/>
      <c r="H68" s="22"/>
      <c r="I68" s="22"/>
      <c r="J68" s="22"/>
      <c r="K68" s="22"/>
      <c r="L68" s="15"/>
      <c r="M68" s="15"/>
      <c r="N68" s="15"/>
      <c r="O68" s="15"/>
      <c r="P68" s="15"/>
    </row>
    <row r="69" spans="3:16" x14ac:dyDescent="0.3">
      <c r="C69" s="22"/>
      <c r="D69" s="22"/>
      <c r="E69" s="22"/>
      <c r="F69" s="22"/>
      <c r="G69" s="22"/>
      <c r="H69" s="22"/>
      <c r="I69" s="22"/>
      <c r="J69" s="22"/>
      <c r="K69" s="22"/>
      <c r="L69" s="15"/>
      <c r="M69" s="15"/>
      <c r="N69" s="15"/>
      <c r="O69" s="15"/>
      <c r="P69" s="15"/>
    </row>
    <row r="70" spans="3:16" x14ac:dyDescent="0.3">
      <c r="C70" s="22"/>
      <c r="D70" s="22"/>
      <c r="E70" s="22"/>
      <c r="F70" s="22"/>
      <c r="G70" s="22"/>
      <c r="H70" s="22"/>
      <c r="I70" s="22"/>
      <c r="J70" s="22"/>
      <c r="K70" s="22"/>
      <c r="L70" s="15"/>
      <c r="M70" s="15"/>
      <c r="N70" s="15"/>
      <c r="O70" s="15"/>
      <c r="P70" s="15"/>
    </row>
    <row r="71" spans="3:16" x14ac:dyDescent="0.3">
      <c r="C71" s="22"/>
      <c r="D71" s="22"/>
      <c r="E71" s="22"/>
      <c r="F71" s="22"/>
      <c r="G71" s="22"/>
      <c r="H71" s="22"/>
      <c r="I71" s="22"/>
      <c r="J71" s="22"/>
      <c r="K71" s="22"/>
      <c r="L71" s="15"/>
      <c r="M71" s="15"/>
      <c r="N71" s="15"/>
      <c r="O71" s="15"/>
      <c r="P71" s="15"/>
    </row>
    <row r="72" spans="3:16" x14ac:dyDescent="0.3">
      <c r="C72" s="22"/>
      <c r="D72" s="22"/>
      <c r="E72" s="22"/>
      <c r="F72" s="22"/>
      <c r="G72" s="22"/>
      <c r="H72" s="22"/>
      <c r="I72" s="22"/>
      <c r="J72" s="22"/>
      <c r="K72" s="22"/>
      <c r="L72" s="15"/>
      <c r="M72" s="15"/>
      <c r="N72" s="15"/>
      <c r="O72" s="15"/>
      <c r="P72" s="15"/>
    </row>
    <row r="73" spans="3:16" x14ac:dyDescent="0.3">
      <c r="C73" s="22"/>
      <c r="D73" s="22"/>
      <c r="E73" s="22"/>
      <c r="F73" s="22"/>
      <c r="G73" s="22"/>
      <c r="H73" s="22"/>
      <c r="I73" s="22"/>
      <c r="J73" s="22"/>
      <c r="K73" s="22"/>
      <c r="L73" s="15"/>
      <c r="M73" s="15"/>
      <c r="N73" s="15"/>
      <c r="O73" s="15"/>
      <c r="P73" s="15"/>
    </row>
    <row r="74" spans="3:16" x14ac:dyDescent="0.3">
      <c r="C74" s="22"/>
      <c r="D74" s="22"/>
      <c r="E74" s="22"/>
      <c r="F74" s="22"/>
      <c r="G74" s="22"/>
      <c r="H74" s="22"/>
      <c r="I74" s="22"/>
      <c r="J74" s="22"/>
      <c r="K74" s="22"/>
      <c r="L74" s="15"/>
      <c r="M74" s="15"/>
      <c r="N74" s="15"/>
      <c r="O74" s="15"/>
      <c r="P74" s="15"/>
    </row>
    <row r="75" spans="3:16" x14ac:dyDescent="0.3">
      <c r="C75" s="22"/>
      <c r="D75" s="22"/>
      <c r="E75" s="22"/>
      <c r="F75" s="22"/>
      <c r="G75" s="22"/>
      <c r="H75" s="22"/>
      <c r="I75" s="22"/>
      <c r="J75" s="22"/>
      <c r="K75" s="22"/>
      <c r="L75" s="15"/>
      <c r="M75" s="15"/>
      <c r="N75" s="15"/>
      <c r="O75" s="15"/>
      <c r="P75" s="15"/>
    </row>
    <row r="76" spans="3:16" x14ac:dyDescent="0.3">
      <c r="C76" s="22"/>
      <c r="D76" s="22"/>
      <c r="E76" s="22"/>
      <c r="F76" s="22"/>
      <c r="G76" s="22"/>
      <c r="H76" s="22"/>
      <c r="I76" s="22"/>
      <c r="J76" s="22"/>
      <c r="K76" s="22"/>
      <c r="L76" s="15"/>
      <c r="M76" s="15"/>
      <c r="N76" s="15"/>
      <c r="O76" s="15"/>
      <c r="P76" s="15"/>
    </row>
    <row r="77" spans="3:16" x14ac:dyDescent="0.3">
      <c r="C77" s="22"/>
      <c r="D77" s="22"/>
      <c r="E77" s="22"/>
      <c r="F77" s="22"/>
      <c r="G77" s="22"/>
      <c r="H77" s="22"/>
      <c r="I77" s="22"/>
      <c r="J77" s="22"/>
      <c r="K77" s="22"/>
      <c r="L77" s="15"/>
      <c r="M77" s="15"/>
      <c r="N77" s="15"/>
      <c r="O77" s="15"/>
      <c r="P77" s="15"/>
    </row>
    <row r="78" spans="3:16" x14ac:dyDescent="0.3">
      <c r="C78" s="22"/>
      <c r="D78" s="22"/>
      <c r="E78" s="22"/>
      <c r="F78" s="22"/>
      <c r="G78" s="22"/>
      <c r="H78" s="22"/>
      <c r="I78" s="22"/>
      <c r="J78" s="22"/>
      <c r="K78" s="22"/>
      <c r="L78" s="15"/>
      <c r="M78" s="15"/>
      <c r="N78" s="15"/>
      <c r="O78" s="15"/>
      <c r="P78" s="15"/>
    </row>
    <row r="79" spans="3:16" x14ac:dyDescent="0.3">
      <c r="C79" s="22"/>
      <c r="D79" s="22"/>
      <c r="E79" s="22"/>
      <c r="F79" s="22"/>
      <c r="G79" s="22"/>
      <c r="H79" s="22"/>
      <c r="I79" s="22"/>
      <c r="J79" s="22"/>
      <c r="K79" s="22"/>
      <c r="L79" s="15"/>
      <c r="M79" s="15"/>
      <c r="N79" s="15"/>
      <c r="O79" s="15"/>
      <c r="P79" s="15"/>
    </row>
    <row r="80" spans="3:16" x14ac:dyDescent="0.3">
      <c r="C80" s="22"/>
      <c r="D80" s="22"/>
      <c r="E80" s="22"/>
      <c r="F80" s="22"/>
      <c r="G80" s="22"/>
      <c r="H80" s="22"/>
      <c r="I80" s="22"/>
      <c r="J80" s="22"/>
      <c r="K80" s="22"/>
      <c r="L80" s="15"/>
      <c r="M80" s="15"/>
      <c r="N80" s="15"/>
      <c r="O80" s="15"/>
      <c r="P80" s="15"/>
    </row>
    <row r="81" spans="3:16" x14ac:dyDescent="0.3">
      <c r="C81" s="22"/>
      <c r="D81" s="22"/>
      <c r="E81" s="22"/>
      <c r="F81" s="22"/>
      <c r="G81" s="22"/>
      <c r="H81" s="22"/>
      <c r="I81" s="22"/>
      <c r="J81" s="22"/>
      <c r="K81" s="22"/>
      <c r="L81" s="15"/>
      <c r="M81" s="15"/>
      <c r="N81" s="15"/>
      <c r="O81" s="15"/>
      <c r="P81" s="15"/>
    </row>
    <row r="82" spans="3:16" x14ac:dyDescent="0.3">
      <c r="C82" s="22"/>
      <c r="D82" s="22"/>
      <c r="E82" s="22"/>
      <c r="F82" s="22"/>
      <c r="G82" s="22"/>
      <c r="H82" s="22"/>
      <c r="I82" s="22"/>
      <c r="J82" s="22"/>
      <c r="K82" s="22"/>
      <c r="L82" s="15"/>
      <c r="M82" s="15"/>
      <c r="N82" s="15"/>
      <c r="O82" s="15"/>
      <c r="P82" s="15"/>
    </row>
    <row r="83" spans="3:16" x14ac:dyDescent="0.3">
      <c r="C83" s="22"/>
      <c r="D83" s="22"/>
      <c r="E83" s="22"/>
      <c r="F83" s="22"/>
      <c r="G83" s="22"/>
      <c r="H83" s="22"/>
      <c r="I83" s="22"/>
      <c r="J83" s="22"/>
      <c r="K83" s="22"/>
      <c r="L83" s="15"/>
      <c r="M83" s="15"/>
      <c r="N83" s="15"/>
      <c r="O83" s="15"/>
      <c r="P83" s="15"/>
    </row>
    <row r="84" spans="3:16" x14ac:dyDescent="0.3">
      <c r="C84" s="22"/>
      <c r="D84" s="22"/>
      <c r="E84" s="22"/>
      <c r="F84" s="22"/>
      <c r="G84" s="22"/>
      <c r="H84" s="22"/>
      <c r="I84" s="22"/>
      <c r="J84" s="22"/>
      <c r="K84" s="22"/>
      <c r="L84" s="15"/>
      <c r="M84" s="15"/>
      <c r="N84" s="15"/>
      <c r="O84" s="15"/>
      <c r="P84" s="15"/>
    </row>
    <row r="85" spans="3:16" x14ac:dyDescent="0.3">
      <c r="C85" s="22"/>
      <c r="D85" s="22"/>
      <c r="E85" s="22"/>
      <c r="F85" s="22"/>
      <c r="G85" s="22"/>
      <c r="H85" s="22"/>
      <c r="I85" s="22"/>
      <c r="J85" s="22"/>
      <c r="K85" s="22"/>
      <c r="L85" s="15"/>
      <c r="M85" s="15"/>
      <c r="N85" s="15"/>
      <c r="O85" s="15"/>
      <c r="P85" s="15"/>
    </row>
    <row r="86" spans="3:16" x14ac:dyDescent="0.3">
      <c r="C86" s="22"/>
      <c r="D86" s="22"/>
      <c r="E86" s="22"/>
      <c r="F86" s="22"/>
      <c r="G86" s="22"/>
      <c r="H86" s="22"/>
      <c r="I86" s="22"/>
      <c r="J86" s="22"/>
      <c r="K86" s="22"/>
      <c r="L86" s="15"/>
      <c r="M86" s="15"/>
      <c r="N86" s="15"/>
      <c r="O86" s="15"/>
      <c r="P86" s="15"/>
    </row>
    <row r="87" spans="3:16" x14ac:dyDescent="0.3">
      <c r="C87" s="22"/>
      <c r="D87" s="22"/>
      <c r="E87" s="22"/>
      <c r="F87" s="22"/>
      <c r="G87" s="22"/>
      <c r="H87" s="22"/>
      <c r="I87" s="22"/>
      <c r="J87" s="22"/>
      <c r="K87" s="22"/>
      <c r="L87" s="15"/>
      <c r="M87" s="15"/>
      <c r="N87" s="15"/>
      <c r="O87" s="15"/>
      <c r="P87" s="15"/>
    </row>
    <row r="88" spans="3:16" x14ac:dyDescent="0.3">
      <c r="C88" s="22"/>
      <c r="D88" s="22"/>
      <c r="E88" s="22"/>
      <c r="F88" s="22"/>
      <c r="G88" s="22"/>
      <c r="H88" s="22"/>
      <c r="I88" s="22"/>
      <c r="J88" s="22"/>
      <c r="K88" s="22"/>
      <c r="L88" s="15"/>
      <c r="M88" s="15"/>
      <c r="N88" s="15"/>
      <c r="O88" s="15"/>
      <c r="P88" s="15"/>
    </row>
    <row r="89" spans="3:16" x14ac:dyDescent="0.3">
      <c r="C89" s="22"/>
      <c r="D89" s="22"/>
      <c r="E89" s="22"/>
      <c r="F89" s="22"/>
      <c r="G89" s="22"/>
      <c r="H89" s="22"/>
      <c r="I89" s="22"/>
      <c r="J89" s="22"/>
      <c r="K89" s="22"/>
      <c r="L89" s="15"/>
      <c r="M89" s="15"/>
      <c r="N89" s="15"/>
      <c r="O89" s="15"/>
      <c r="P89" s="15"/>
    </row>
    <row r="90" spans="3:16" x14ac:dyDescent="0.3">
      <c r="C90" s="22"/>
      <c r="D90" s="22"/>
      <c r="E90" s="22"/>
      <c r="F90" s="22"/>
      <c r="G90" s="22"/>
      <c r="H90" s="22"/>
      <c r="I90" s="22"/>
      <c r="J90" s="22"/>
      <c r="K90" s="22"/>
      <c r="L90" s="15"/>
      <c r="M90" s="15"/>
      <c r="N90" s="15"/>
      <c r="O90" s="15"/>
      <c r="P90" s="15"/>
    </row>
    <row r="91" spans="3:16" x14ac:dyDescent="0.3">
      <c r="C91" s="22"/>
      <c r="D91" s="22"/>
      <c r="E91" s="22"/>
      <c r="F91" s="22"/>
      <c r="G91" s="22"/>
      <c r="H91" s="22"/>
      <c r="I91" s="22"/>
      <c r="J91" s="22"/>
      <c r="K91" s="22"/>
      <c r="L91" s="15"/>
      <c r="M91" s="15"/>
      <c r="N91" s="15"/>
      <c r="O91" s="15"/>
      <c r="P91" s="15"/>
    </row>
    <row r="92" spans="3:16" x14ac:dyDescent="0.3">
      <c r="C92" s="22"/>
      <c r="D92" s="22"/>
      <c r="E92" s="22"/>
      <c r="F92" s="22"/>
      <c r="G92" s="22"/>
      <c r="H92" s="22"/>
      <c r="I92" s="22"/>
      <c r="J92" s="22"/>
      <c r="K92" s="22"/>
      <c r="L92" s="15"/>
      <c r="M92" s="15"/>
      <c r="N92" s="15"/>
      <c r="O92" s="15"/>
      <c r="P92" s="15"/>
    </row>
    <row r="93" spans="3:16" x14ac:dyDescent="0.3">
      <c r="C93" s="22"/>
      <c r="D93" s="22"/>
      <c r="E93" s="22"/>
      <c r="F93" s="22"/>
      <c r="G93" s="22"/>
      <c r="H93" s="22"/>
      <c r="I93" s="22"/>
      <c r="J93" s="22"/>
      <c r="K93" s="22"/>
      <c r="L93" s="15"/>
      <c r="M93" s="15"/>
      <c r="N93" s="15"/>
      <c r="O93" s="15"/>
      <c r="P93" s="15"/>
    </row>
    <row r="94" spans="3:16" x14ac:dyDescent="0.3">
      <c r="C94" s="22"/>
      <c r="D94" s="22"/>
      <c r="E94" s="22"/>
      <c r="F94" s="22"/>
      <c r="G94" s="22"/>
      <c r="H94" s="22"/>
      <c r="I94" s="22"/>
      <c r="J94" s="22"/>
      <c r="K94" s="22"/>
      <c r="L94" s="15"/>
      <c r="M94" s="15"/>
      <c r="N94" s="15"/>
      <c r="O94" s="15"/>
      <c r="P94" s="15"/>
    </row>
    <row r="95" spans="3:16" x14ac:dyDescent="0.3">
      <c r="C95" s="22"/>
      <c r="D95" s="22"/>
      <c r="E95" s="22"/>
      <c r="F95" s="22"/>
      <c r="G95" s="22"/>
      <c r="H95" s="22"/>
      <c r="I95" s="22"/>
      <c r="J95" s="22"/>
      <c r="K95" s="22"/>
      <c r="L95" s="15"/>
      <c r="M95" s="15"/>
      <c r="N95" s="15"/>
      <c r="O95" s="15"/>
      <c r="P95" s="15"/>
    </row>
    <row r="96" spans="3:16" x14ac:dyDescent="0.3">
      <c r="C96" s="22"/>
      <c r="D96" s="22"/>
      <c r="E96" s="22"/>
      <c r="F96" s="22"/>
      <c r="G96" s="22"/>
      <c r="H96" s="22"/>
      <c r="I96" s="22"/>
      <c r="J96" s="22"/>
      <c r="K96" s="22"/>
      <c r="O96" s="15"/>
      <c r="P96" s="15"/>
    </row>
    <row r="97" spans="3:11" x14ac:dyDescent="0.3">
      <c r="C97" s="22"/>
      <c r="D97" s="22"/>
      <c r="E97" s="22"/>
      <c r="F97" s="22"/>
      <c r="G97" s="22"/>
      <c r="H97" s="22"/>
      <c r="I97" s="22"/>
      <c r="J97" s="22"/>
      <c r="K97" s="22"/>
    </row>
    <row r="98" spans="3:11" x14ac:dyDescent="0.3">
      <c r="C98" s="22"/>
      <c r="D98" s="22"/>
      <c r="E98" s="22"/>
      <c r="F98" s="22"/>
      <c r="G98" s="22"/>
      <c r="H98" s="22"/>
      <c r="I98" s="22"/>
      <c r="J98" s="22"/>
      <c r="K98" s="22"/>
    </row>
    <row r="99" spans="3:11" x14ac:dyDescent="0.3">
      <c r="C99" s="22"/>
      <c r="D99" s="22"/>
      <c r="E99" s="22"/>
      <c r="F99" s="22"/>
      <c r="G99" s="22"/>
      <c r="H99" s="22"/>
      <c r="I99" s="22"/>
      <c r="J99" s="22"/>
      <c r="K99" s="22"/>
    </row>
    <row r="100" spans="3:11" x14ac:dyDescent="0.3"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3:11" x14ac:dyDescent="0.3"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3:11" x14ac:dyDescent="0.3"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3:11" x14ac:dyDescent="0.3"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3:11" x14ac:dyDescent="0.3"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3:11" x14ac:dyDescent="0.3">
      <c r="C105" s="22"/>
      <c r="D105" s="22"/>
      <c r="E105" s="22"/>
      <c r="F105" s="22"/>
      <c r="G105" s="22"/>
      <c r="H105" s="22"/>
      <c r="I105" s="22"/>
      <c r="J105" s="22"/>
      <c r="K105" s="22"/>
    </row>
    <row r="106" spans="3:11" x14ac:dyDescent="0.3">
      <c r="C106" s="22"/>
      <c r="D106" s="22"/>
      <c r="E106" s="22"/>
      <c r="F106" s="22"/>
      <c r="G106" s="22"/>
      <c r="H106" s="22"/>
      <c r="I106" s="22"/>
      <c r="J106" s="22"/>
      <c r="K106" s="22"/>
    </row>
    <row r="107" spans="3:11" x14ac:dyDescent="0.3"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3:11" x14ac:dyDescent="0.3"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3:11" x14ac:dyDescent="0.3"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3:11" x14ac:dyDescent="0.3"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3:11" x14ac:dyDescent="0.3"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3:11" x14ac:dyDescent="0.3"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3:11" x14ac:dyDescent="0.3"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3:11" x14ac:dyDescent="0.3"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3:11" x14ac:dyDescent="0.3"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3:11" x14ac:dyDescent="0.3">
      <c r="C116" s="22"/>
      <c r="D116" s="22"/>
      <c r="E116" s="22"/>
      <c r="F116" s="22"/>
      <c r="G116" s="22"/>
      <c r="H116" s="22"/>
      <c r="I116" s="22"/>
      <c r="J116" s="22"/>
      <c r="K116" s="22"/>
    </row>
    <row r="117" spans="3:11" x14ac:dyDescent="0.3">
      <c r="C117" s="22"/>
      <c r="D117" s="22"/>
      <c r="E117" s="22"/>
      <c r="F117" s="22"/>
      <c r="G117" s="22"/>
      <c r="H117" s="22"/>
      <c r="I117" s="22"/>
      <c r="J117" s="22"/>
      <c r="K117" s="22"/>
    </row>
    <row r="118" spans="3:11" x14ac:dyDescent="0.3">
      <c r="C118" s="22"/>
      <c r="D118" s="22"/>
      <c r="E118" s="22"/>
      <c r="F118" s="22"/>
      <c r="G118" s="22"/>
      <c r="H118" s="22"/>
      <c r="I118" s="22"/>
      <c r="J118" s="22"/>
      <c r="K118" s="22"/>
    </row>
    <row r="119" spans="3:11" x14ac:dyDescent="0.3">
      <c r="C119" s="22"/>
      <c r="D119" s="22"/>
      <c r="E119" s="22"/>
      <c r="F119" s="22"/>
      <c r="G119" s="22"/>
      <c r="H119" s="22"/>
      <c r="I119" s="22"/>
      <c r="J119" s="22"/>
      <c r="K119" s="22"/>
    </row>
    <row r="120" spans="3:11" x14ac:dyDescent="0.3">
      <c r="C120" s="22"/>
      <c r="D120" s="22"/>
      <c r="E120" s="22"/>
      <c r="F120" s="22"/>
      <c r="G120" s="22"/>
      <c r="H120" s="22"/>
      <c r="I120" s="22"/>
      <c r="J120" s="22"/>
      <c r="K120" s="22"/>
    </row>
    <row r="121" spans="3:11" x14ac:dyDescent="0.3">
      <c r="C121" s="22"/>
      <c r="D121" s="22"/>
      <c r="E121" s="22"/>
      <c r="F121" s="22"/>
      <c r="G121" s="22"/>
      <c r="H121" s="22"/>
      <c r="I121" s="22"/>
      <c r="J121" s="22"/>
      <c r="K121" s="22"/>
    </row>
    <row r="122" spans="3:11" x14ac:dyDescent="0.3">
      <c r="C122" s="22"/>
      <c r="D122" s="22"/>
      <c r="E122" s="22"/>
      <c r="F122" s="22"/>
      <c r="G122" s="22"/>
      <c r="H122" s="22"/>
      <c r="I122" s="22"/>
      <c r="J122" s="22"/>
      <c r="K122" s="22"/>
    </row>
    <row r="123" spans="3:11" x14ac:dyDescent="0.3">
      <c r="C123" s="22"/>
      <c r="D123" s="22"/>
      <c r="E123" s="22"/>
      <c r="F123" s="22"/>
      <c r="G123" s="22"/>
      <c r="H123" s="22"/>
      <c r="I123" s="22"/>
      <c r="J123" s="22"/>
      <c r="K123" s="22"/>
    </row>
    <row r="124" spans="3:11" x14ac:dyDescent="0.3">
      <c r="C124" s="22"/>
      <c r="D124" s="22"/>
      <c r="E124" s="22"/>
      <c r="F124" s="22"/>
      <c r="G124" s="22"/>
      <c r="H124" s="22"/>
      <c r="I124" s="22"/>
      <c r="J124" s="22"/>
      <c r="K124" s="22"/>
    </row>
    <row r="125" spans="3:11" x14ac:dyDescent="0.3">
      <c r="C125" s="22"/>
      <c r="D125" s="22"/>
      <c r="E125" s="22"/>
      <c r="F125" s="22"/>
      <c r="G125" s="22"/>
      <c r="H125" s="22"/>
      <c r="I125" s="22"/>
      <c r="J125" s="22"/>
      <c r="K125" s="22"/>
    </row>
    <row r="126" spans="3:11" x14ac:dyDescent="0.3">
      <c r="C126" s="22"/>
      <c r="D126" s="22"/>
      <c r="E126" s="22"/>
      <c r="F126" s="22"/>
      <c r="G126" s="22"/>
      <c r="H126" s="22"/>
      <c r="I126" s="22"/>
      <c r="J126" s="22"/>
      <c r="K126" s="22"/>
    </row>
    <row r="127" spans="3:11" x14ac:dyDescent="0.3"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3:11" x14ac:dyDescent="0.3"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3:11" x14ac:dyDescent="0.3">
      <c r="C129" s="22"/>
      <c r="D129" s="22"/>
      <c r="E129" s="22"/>
      <c r="F129" s="22"/>
      <c r="G129" s="22"/>
      <c r="H129" s="22"/>
      <c r="I129" s="22"/>
      <c r="J129" s="22"/>
      <c r="K129" s="22"/>
    </row>
    <row r="130" spans="3:11" x14ac:dyDescent="0.3">
      <c r="C130" s="22"/>
      <c r="D130" s="22"/>
      <c r="E130" s="22"/>
      <c r="F130" s="22"/>
      <c r="G130" s="22"/>
      <c r="H130" s="22"/>
      <c r="I130" s="22"/>
      <c r="J130" s="22"/>
      <c r="K130" s="22"/>
    </row>
    <row r="131" spans="3:11" x14ac:dyDescent="0.3"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3:11" x14ac:dyDescent="0.3"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3:11" x14ac:dyDescent="0.3">
      <c r="C133" s="22"/>
      <c r="D133" s="22"/>
      <c r="E133" s="22"/>
      <c r="F133" s="22"/>
      <c r="G133" s="22"/>
      <c r="H133" s="22"/>
      <c r="I133" s="22"/>
      <c r="J133" s="22"/>
      <c r="K133" s="22"/>
    </row>
    <row r="134" spans="3:11" x14ac:dyDescent="0.3">
      <c r="C134" s="22"/>
      <c r="D134" s="22"/>
      <c r="E134" s="22"/>
      <c r="F134" s="22"/>
      <c r="G134" s="22"/>
      <c r="H134" s="22"/>
      <c r="I134" s="22"/>
      <c r="J134" s="22"/>
      <c r="K134" s="22"/>
    </row>
    <row r="135" spans="3:11" x14ac:dyDescent="0.3"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3:11" x14ac:dyDescent="0.3">
      <c r="C136" s="22"/>
      <c r="D136" s="22"/>
      <c r="E136" s="22"/>
      <c r="F136" s="22"/>
      <c r="G136" s="22"/>
      <c r="H136" s="22"/>
      <c r="I136" s="22"/>
      <c r="J136" s="22"/>
      <c r="K136" s="22"/>
    </row>
    <row r="137" spans="3:11" x14ac:dyDescent="0.3">
      <c r="C137" s="22"/>
      <c r="D137" s="22"/>
      <c r="E137" s="22"/>
      <c r="F137" s="22"/>
      <c r="G137" s="22"/>
      <c r="H137" s="22"/>
      <c r="I137" s="22"/>
      <c r="J137" s="22"/>
      <c r="K137" s="22"/>
    </row>
    <row r="138" spans="3:11" x14ac:dyDescent="0.3">
      <c r="C138" s="22"/>
      <c r="D138" s="22"/>
      <c r="E138" s="22"/>
      <c r="F138" s="22"/>
      <c r="G138" s="22"/>
      <c r="H138" s="22"/>
      <c r="I138" s="22"/>
      <c r="J138" s="22"/>
      <c r="K138" s="22"/>
    </row>
    <row r="139" spans="3:11" x14ac:dyDescent="0.3">
      <c r="C139" s="22"/>
      <c r="D139" s="22"/>
      <c r="E139" s="22"/>
      <c r="F139" s="22"/>
      <c r="G139" s="22"/>
      <c r="H139" s="22"/>
      <c r="I139" s="22"/>
      <c r="J139" s="22"/>
      <c r="K139" s="22"/>
    </row>
    <row r="140" spans="3:11" x14ac:dyDescent="0.3">
      <c r="C140" s="22"/>
      <c r="D140" s="22"/>
      <c r="E140" s="22"/>
      <c r="F140" s="22"/>
      <c r="G140" s="22"/>
      <c r="H140" s="22"/>
      <c r="I140" s="22"/>
      <c r="J140" s="22"/>
      <c r="K140" s="22"/>
    </row>
    <row r="141" spans="3:11" x14ac:dyDescent="0.3">
      <c r="C141" s="22"/>
      <c r="D141" s="22"/>
      <c r="E141" s="22"/>
      <c r="F141" s="22"/>
      <c r="G141" s="22"/>
      <c r="H141" s="22"/>
      <c r="I141" s="22"/>
      <c r="J141" s="22"/>
      <c r="K141" s="22"/>
    </row>
    <row r="142" spans="3:11" x14ac:dyDescent="0.3">
      <c r="C142" s="22"/>
      <c r="D142" s="22"/>
      <c r="E142" s="22"/>
      <c r="F142" s="22"/>
      <c r="G142" s="22"/>
      <c r="H142" s="22"/>
      <c r="I142" s="22"/>
      <c r="J142" s="22"/>
      <c r="K142" s="22"/>
    </row>
    <row r="143" spans="3:11" x14ac:dyDescent="0.3">
      <c r="C143" s="22"/>
      <c r="D143" s="22"/>
      <c r="E143" s="22"/>
      <c r="F143" s="22"/>
      <c r="G143" s="22"/>
      <c r="H143" s="22"/>
      <c r="I143" s="22"/>
      <c r="J143" s="22"/>
      <c r="K143" s="22"/>
    </row>
    <row r="144" spans="3:11" x14ac:dyDescent="0.3">
      <c r="C144" s="22"/>
      <c r="D144" s="22"/>
      <c r="E144" s="22"/>
      <c r="F144" s="22"/>
      <c r="G144" s="22"/>
      <c r="H144" s="22"/>
      <c r="I144" s="22"/>
      <c r="J144" s="22"/>
      <c r="K144" s="22"/>
    </row>
    <row r="145" spans="3:11" x14ac:dyDescent="0.3">
      <c r="C145" s="22"/>
      <c r="D145" s="22"/>
      <c r="E145" s="22"/>
      <c r="F145" s="22"/>
      <c r="G145" s="22"/>
      <c r="H145" s="22"/>
      <c r="I145" s="22"/>
      <c r="J145" s="22"/>
      <c r="K145" s="22"/>
    </row>
    <row r="146" spans="3:11" x14ac:dyDescent="0.3">
      <c r="C146" s="22"/>
      <c r="D146" s="22"/>
      <c r="E146" s="22"/>
      <c r="F146" s="22"/>
      <c r="G146" s="22"/>
      <c r="H146" s="22"/>
      <c r="I146" s="22"/>
      <c r="J146" s="22"/>
      <c r="K146" s="22"/>
    </row>
    <row r="147" spans="3:11" x14ac:dyDescent="0.3">
      <c r="D147" s="22"/>
      <c r="E147" s="22"/>
      <c r="F147" s="22"/>
      <c r="K147" s="22"/>
    </row>
    <row r="148" spans="3:11" x14ac:dyDescent="0.3">
      <c r="D148" s="22"/>
      <c r="E148" s="22"/>
      <c r="F148" s="22"/>
      <c r="K148" s="22"/>
    </row>
  </sheetData>
  <mergeCells count="1">
    <mergeCell ref="B3:G3"/>
  </mergeCells>
  <conditionalFormatting sqref="B78">
    <cfRule type="duplicateValues" dxfId="1" priority="3"/>
    <cfRule type="duplicateValues" dxfId="0" priority="4"/>
  </conditionalFormatting>
  <hyperlinks>
    <hyperlink ref="B5" r:id="rId1" display="TYNDP 2022 - CH4 Capacities per Country" xr:uid="{D8230EAB-05E4-4559-9C16-458877FB6782}"/>
    <hyperlink ref="B6" r:id="rId2" display="Energy projections for African countries (p.92-95)" xr:uid="{39E27669-641C-4FAE-9511-333D7776114B}"/>
    <hyperlink ref="M15" r:id="rId3" xr:uid="{6478F5AA-2502-4009-9572-8EAD2CA3BCD6}"/>
    <hyperlink ref="B7" r:id="rId4" location=":~:text=The%20diameter%20of%20the%20offshore,its%20facility%20in%20Tema%2C%20Ghana" xr:uid="{9D776F41-6076-400E-AA53-B81E87CA7316}"/>
    <hyperlink ref="M14" r:id="rId5" xr:uid="{66C4CAD9-66B8-4D94-B507-C3C6ABC8D0FF}"/>
    <hyperlink ref="M21" r:id="rId6" xr:uid="{4F314E0C-CE97-4415-B087-5F38DFCD1F31}"/>
  </hyperlinks>
  <pageMargins left="0.7" right="0.7" top="0.75" bottom="0.75" header="0.3" footer="0.3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2025-08-25T12:00:15Z</dcterms:modified>
</cp:coreProperties>
</file>