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BFCB8083-F3BE-47B3-AB71-67FCFDE6D13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_FilterDatabase" localSheetId="0" hidden="1">Sheet1!$A$17:$G$31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5" i="1" l="1"/>
  <c r="G149" i="1"/>
  <c r="G156" i="1"/>
  <c r="G169" i="1"/>
  <c r="G165" i="1"/>
  <c r="G160" i="1"/>
  <c r="G152" i="1"/>
  <c r="G170" i="1"/>
  <c r="G168" i="1"/>
  <c r="G157" i="1"/>
  <c r="G166" i="1"/>
  <c r="G171" i="1"/>
  <c r="G148" i="1"/>
  <c r="G153" i="1"/>
  <c r="G154" i="1"/>
  <c r="G167" i="1"/>
  <c r="G172" i="1"/>
  <c r="G173" i="1"/>
  <c r="G174" i="1"/>
  <c r="G151" i="1"/>
  <c r="G175" i="1"/>
  <c r="G176" i="1"/>
  <c r="G150" i="1"/>
  <c r="G161" i="1"/>
  <c r="G158" i="1"/>
  <c r="G162" i="1"/>
  <c r="G146" i="1"/>
  <c r="G147" i="1"/>
  <c r="G163" i="1"/>
  <c r="G164" i="1"/>
  <c r="G159" i="1"/>
  <c r="G155" i="1"/>
  <c r="G144" i="1"/>
  <c r="E140" i="1" l="1"/>
  <c r="E1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Elias Kousoulos</author>
  </authors>
  <commentList>
    <comment ref="G179" authorId="0" shapeId="0" xr:uid="{FEB2BC18-49C3-41F8-B2A8-82D6D2C555B1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under construction i.e. 2031 first year of full operation.  preconstruction, 8 years (i.e. 2034). είναι announced, 12 years (i.e. 2038)</t>
        </r>
      </text>
    </comment>
  </commentList>
</comments>
</file>

<file path=xl/sharedStrings.xml><?xml version="1.0" encoding="utf-8"?>
<sst xmlns="http://schemas.openxmlformats.org/spreadsheetml/2006/main" count="429" uniqueCount="98">
  <si>
    <t>Infobox</t>
  </si>
  <si>
    <t>Nuclear</t>
  </si>
  <si>
    <t>Country</t>
  </si>
  <si>
    <t>Technology</t>
  </si>
  <si>
    <t xml:space="preserve">Source: </t>
  </si>
  <si>
    <t>Austria</t>
  </si>
  <si>
    <t>Natural Gas</t>
  </si>
  <si>
    <t>Onshore Wind</t>
  </si>
  <si>
    <t>Offshore Wind</t>
  </si>
  <si>
    <t>On-grid Solar Photovoltaic</t>
  </si>
  <si>
    <t>Pumped Storage</t>
  </si>
  <si>
    <t>Belgium</t>
  </si>
  <si>
    <t>Bulgaria</t>
  </si>
  <si>
    <t>Cyprus</t>
  </si>
  <si>
    <t>Germany</t>
  </si>
  <si>
    <t>Denmark</t>
  </si>
  <si>
    <t>Estonia</t>
  </si>
  <si>
    <t>Greece</t>
  </si>
  <si>
    <t>Spain</t>
  </si>
  <si>
    <t>Finland</t>
  </si>
  <si>
    <t>France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</si>
  <si>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</si>
  <si>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</si>
  <si>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</si>
  <si>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</si>
  <si>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</si>
  <si>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</si>
  <si>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</si>
  <si>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</si>
  <si>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</si>
  <si>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</si>
  <si>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</si>
  <si>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</si>
  <si>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</si>
  <si>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</si>
  <si>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</si>
  <si>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Comments:</t>
  </si>
  <si>
    <t xml:space="preserve">https://www.irena.org/Data/Downloads/Tools </t>
  </si>
  <si>
    <t>Norway</t>
  </si>
  <si>
    <t>Switzerland</t>
  </si>
  <si>
    <t>UK</t>
  </si>
  <si>
    <t xml:space="preserve">https://ember-energy.org/data/latest-eu-necp-targets/#summary </t>
  </si>
  <si>
    <t>Battery</t>
  </si>
  <si>
    <t>Hydrogen</t>
  </si>
  <si>
    <t>https://windeurope.org/2030plans/?utm_source=chatgpt.com</t>
  </si>
  <si>
    <t>Committed Electricity Installed Capacity Wind (GW) -NECP Data 2024 Wind Europe</t>
  </si>
  <si>
    <t>Czech Republic</t>
  </si>
  <si>
    <t>https://www.solarpowereurope.org/advocacy/national-energy-and-climate-plans</t>
  </si>
  <si>
    <t>Committed Electricity Installed Capacity Solar (GW) -NECP Data 2023-2024 Solar Power Europe</t>
  </si>
  <si>
    <t xml:space="preserve">Latvia </t>
  </si>
  <si>
    <t xml:space="preserve">Portugal </t>
  </si>
  <si>
    <t>PRIS - Country Details (Nuclear)</t>
  </si>
  <si>
    <t>Committed Electricity Installed Capacity Nuclear (GW) - IAEA PRIS</t>
  </si>
  <si>
    <t>Year</t>
  </si>
  <si>
    <t>Value</t>
  </si>
  <si>
    <t xml:space="preserve">Hungary </t>
  </si>
  <si>
    <t xml:space="preserve">Italy </t>
  </si>
  <si>
    <t xml:space="preserve">Slovenia </t>
  </si>
  <si>
    <t>n/a</t>
  </si>
  <si>
    <t>TYNDP2024 - Projects Sheets (Pumped Storage)</t>
  </si>
  <si>
    <t>Generation Capacity (GW)</t>
  </si>
  <si>
    <t>Storage Capacity (GWh)</t>
  </si>
  <si>
    <t>Committed Electricity Installed Capacity Pumped Storage - TYNDP 2024</t>
  </si>
  <si>
    <t>Storage Capacity (PJ)</t>
  </si>
  <si>
    <t xml:space="preserve">Global Energy Monitor Hydropower </t>
  </si>
  <si>
    <t>run-of-river</t>
  </si>
  <si>
    <t>Name</t>
  </si>
  <si>
    <t>Imst Haiming hydroelectric plant</t>
  </si>
  <si>
    <t>Prutz 2 hydroelectric plant</t>
  </si>
  <si>
    <t>Turnu Magurele - Nikopol hydroelectric plant</t>
  </si>
  <si>
    <t>Avlaki hydroelectric plant</t>
  </si>
  <si>
    <t>Messochora hydroelectric plant</t>
  </si>
  <si>
    <t>Sykia hydroelectric plant</t>
  </si>
  <si>
    <t>Hemsil III hydroelectric plant</t>
  </si>
  <si>
    <t>Løkjelsvatn hydroelectric plant</t>
  </si>
  <si>
    <t>New Nedre Fiskumfoss hydroelectric plant</t>
  </si>
  <si>
    <t>Offerdal hydroelectric plant</t>
  </si>
  <si>
    <t>Siarzewo hydroelectric plant</t>
  </si>
  <si>
    <t>Alto Tâmega hydroelectric plant</t>
  </si>
  <si>
    <t>Nehoiasu II hydroelectric plant</t>
  </si>
  <si>
    <t>Silistra - Călărași hydroelectric plant</t>
  </si>
  <si>
    <t>HIDRO Cedillo hydroelectric plant</t>
  </si>
  <si>
    <t>Harsprånget hydroelectric plant</t>
  </si>
  <si>
    <t>Messaure hydroelectric plant</t>
  </si>
  <si>
    <t>Porjus hydroelectric plant</t>
  </si>
  <si>
    <t>Unta hydroelectric plant</t>
  </si>
  <si>
    <t>Grimsel 4 hydroelectric plant</t>
  </si>
  <si>
    <t>Trift hydroelectric plant</t>
  </si>
  <si>
    <t>conventional storage - dam</t>
  </si>
  <si>
    <t>Committed Electricity Installed Capacity Hydropower (GW) - Global Energy Monitor</t>
  </si>
  <si>
    <t>Status</t>
  </si>
  <si>
    <t>operating</t>
  </si>
  <si>
    <t>pre-construction</t>
  </si>
  <si>
    <t>construction</t>
  </si>
  <si>
    <t>announced</t>
  </si>
  <si>
    <t>Committed TotalElectricity Installed Capacity (GW) - EMBER NECP Data 2024</t>
  </si>
  <si>
    <t>ATWIONPN1</t>
  </si>
  <si>
    <t>Electricity Installed Capacity Europe (EU) by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</si>
</sst>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Border="1"/>
    <xf numFmtId="0" fontId="0" fillId="0" borderId="1" xfId="0" applyBorder="1"/>
    <xf numFmtId="0" fontId="4" fillId="0" borderId="2" xfId="0" applyFont="1" applyBorder="1"/>
    <xf numFmtId="0" fontId="0" fillId="0" borderId="2" xfId="0" applyBorder="1"/>
    <xf numFmtId="0" fontId="0" fillId="2" borderId="1" xfId="0" applyFill="1" applyBorder="1" applyAlignment="1">
      <alignment vertical="top" wrapText="1"/>
    </xf>
    <xf numFmtId="0" fontId="0" fillId="2" borderId="0" xfId="0" applyFill="1" applyBorder="1" applyAlignment="1">
      <alignment vertical="top" wrapText="1"/>
    </xf>
    <xf numFmtId="0" fontId="0" fillId="2" borderId="4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1" fillId="3" borderId="0" xfId="0" applyFont="1" applyFill="1"/>
    <xf numFmtId="0" fontId="2" fillId="2" borderId="3" xfId="0" applyFont="1" applyFill="1" applyBorder="1" applyAlignment="1">
      <alignment vertical="top"/>
    </xf>
    <xf numFmtId="0" fontId="5" fillId="2" borderId="3" xfId="1" applyFill="1" applyBorder="1" applyAlignment="1">
      <alignment vertical="top"/>
    </xf>
    <xf numFmtId="0" fontId="1" fillId="4" borderId="0" xfId="0" applyFont="1" applyFill="1"/>
    <xf numFmtId="0" fontId="3" fillId="4" borderId="0" xfId="0" applyFont="1" applyFill="1"/>
    <xf numFmtId="0" fontId="0" fillId="0" borderId="0" xfId="0" applyFont="1" applyBorder="1"/>
    <xf numFmtId="0" fontId="1" fillId="0" borderId="0" xfId="0" applyFont="1" applyFill="1"/>
    <xf numFmtId="0" fontId="0" fillId="0" borderId="0" xfId="0" applyFill="1"/>
    <xf numFmtId="0" fontId="1" fillId="5" borderId="0" xfId="0" applyFont="1" applyFill="1"/>
    <xf numFmtId="0" fontId="1" fillId="6" borderId="0" xfId="0" applyFont="1" applyFill="1"/>
    <xf numFmtId="0" fontId="0" fillId="0" borderId="0" xfId="0" applyNumberFormat="1"/>
    <xf numFmtId="0" fontId="1" fillId="6" borderId="0" xfId="0" applyFont="1" applyFill="1" applyAlignment="1"/>
    <xf numFmtId="0" fontId="1" fillId="0" borderId="0" xfId="0" applyFont="1" applyFill="1" applyAlignment="1"/>
    <xf numFmtId="0" fontId="0" fillId="3" borderId="0" xfId="0" applyFill="1"/>
    <xf numFmtId="0" fontId="0" fillId="7" borderId="0" xfId="0" applyFill="1"/>
    <xf numFmtId="0" fontId="1" fillId="3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5" borderId="0" xfId="0" applyFont="1" applyFill="1" applyAlignment="1">
      <alignment horizontal="left" wrapText="1"/>
    </xf>
    <xf numFmtId="0" fontId="1" fillId="3" borderId="0" xfId="0" applyFont="1" applyFill="1" applyAlignment="1">
      <alignment horizontal="left" wrapText="1"/>
    </xf>
    <xf numFmtId="0" fontId="5" fillId="2" borderId="0" xfId="1" applyFill="1"/>
    <xf numFmtId="0" fontId="0" fillId="0" borderId="0" xfId="0" applyNumberFormat="1" applyFill="1"/>
  </cellXfs>
  <cellStyles count="2">
    <cellStyle name="Hyperlink" xfId="1" builtinId="8"/>
    <cellStyle name="Normal" xfId="0" builtinId="0"/>
  </cellStyles>
  <dxfs count="6">
    <dxf>
      <fill>
        <patternFill patternType="solid">
          <fgColor rgb="FFFF0000"/>
          <bgColor rgb="FF000000"/>
        </patternFill>
      </fill>
    </dxf>
    <dxf>
      <fill>
        <patternFill>
          <bgColor theme="2" tint="-9.9948118533890809E-2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pris.iaea.org/PRIS/CountryStatistics/CountryDetails.aspx?current=SK" TargetMode="External"/><Relationship Id="rId7" Type="http://schemas.openxmlformats.org/officeDocument/2006/relationships/hyperlink" Target="https://globalenergymonitor.org/projects/global-hydropower-tracker/download-data/" TargetMode="External"/><Relationship Id="rId2" Type="http://schemas.openxmlformats.org/officeDocument/2006/relationships/hyperlink" Target="https://ember-energy.org/data/latest-eu-necp-targets/" TargetMode="External"/><Relationship Id="rId1" Type="http://schemas.openxmlformats.org/officeDocument/2006/relationships/hyperlink" Target="https://www.irena.org/Data/Downloads/Tools" TargetMode="External"/><Relationship Id="rId6" Type="http://schemas.openxmlformats.org/officeDocument/2006/relationships/hyperlink" Target="https://www.solarpowereurope.org/advocacy/national-energy-and-climate-plans" TargetMode="External"/><Relationship Id="rId5" Type="http://schemas.openxmlformats.org/officeDocument/2006/relationships/hyperlink" Target="https://windeurope.org/2030plans/?utm_source=chatgpt.com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tyndp2024.entsoe.eu/projects-map/storage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269"/>
  <sheetViews>
    <sheetView tabSelected="1" zoomScale="85" zoomScaleNormal="120" workbookViewId="0">
      <selection activeCell="L14" sqref="L14"/>
    </sheetView>
  </sheetViews>
  <sheetFormatPr defaultRowHeight="14.4" x14ac:dyDescent="0.3"/>
  <cols>
    <col min="1" max="1" width="10.44140625" customWidth="1"/>
    <col min="2" max="2" width="11.109375" customWidth="1"/>
    <col min="3" max="3" width="26.88671875" customWidth="1"/>
    <col min="5" max="5" width="13.44140625" customWidth="1"/>
    <col min="6" max="6" width="12.33203125" customWidth="1"/>
    <col min="7" max="7" width="18.88671875" bestFit="1" customWidth="1"/>
    <col min="12" max="12" width="8.88671875" customWidth="1"/>
    <col min="13" max="13" width="24.109375" bestFit="1" customWidth="1"/>
    <col min="19" max="19" width="12" bestFit="1" customWidth="1"/>
  </cols>
  <sheetData>
    <row r="2" spans="1:12" ht="28.8" x14ac:dyDescent="0.55000000000000004">
      <c r="B2" s="3" t="s">
        <v>97</v>
      </c>
      <c r="C2" s="4"/>
      <c r="D2" s="4"/>
      <c r="E2" s="4"/>
      <c r="F2" s="4"/>
      <c r="G2" s="4"/>
      <c r="H2" s="4"/>
      <c r="I2" s="4"/>
      <c r="J2" s="4"/>
      <c r="K2" s="4"/>
      <c r="L2" s="1"/>
    </row>
    <row r="3" spans="1:12" x14ac:dyDescent="0.3">
      <c r="A3" s="2"/>
      <c r="B3" s="27" t="s">
        <v>0</v>
      </c>
      <c r="C3" s="28"/>
      <c r="D3" s="28"/>
      <c r="E3" s="28"/>
      <c r="F3" s="28"/>
      <c r="G3" s="28"/>
      <c r="H3" s="28"/>
      <c r="I3" s="28"/>
      <c r="J3" s="28"/>
      <c r="K3" s="29"/>
    </row>
    <row r="4" spans="1:12" x14ac:dyDescent="0.3">
      <c r="A4" s="2"/>
      <c r="B4" s="11" t="s">
        <v>4</v>
      </c>
      <c r="C4" s="6"/>
      <c r="D4" s="6"/>
      <c r="E4" s="6"/>
      <c r="F4" s="6"/>
      <c r="G4" s="6"/>
      <c r="H4" s="6"/>
      <c r="I4" s="6"/>
      <c r="J4" s="6"/>
      <c r="K4" s="5"/>
    </row>
    <row r="5" spans="1:12" x14ac:dyDescent="0.3">
      <c r="A5" s="2"/>
      <c r="B5" s="12" t="s">
        <v>37</v>
      </c>
      <c r="C5" s="6"/>
      <c r="D5" s="6"/>
      <c r="E5" s="6"/>
      <c r="F5" s="6"/>
      <c r="G5" s="6"/>
      <c r="H5" s="6"/>
      <c r="I5" s="6"/>
      <c r="J5" s="6"/>
      <c r="K5" s="5"/>
    </row>
    <row r="6" spans="1:12" x14ac:dyDescent="0.3">
      <c r="A6" s="2"/>
      <c r="B6" s="12" t="s">
        <v>41</v>
      </c>
      <c r="C6" s="6"/>
      <c r="D6" s="6"/>
      <c r="E6" s="6"/>
      <c r="F6" s="6"/>
      <c r="G6" s="6"/>
      <c r="H6" s="6"/>
      <c r="I6" s="6"/>
      <c r="J6" s="6"/>
      <c r="K6" s="5"/>
    </row>
    <row r="7" spans="1:12" x14ac:dyDescent="0.3">
      <c r="A7" s="2"/>
      <c r="B7" s="12" t="s">
        <v>44</v>
      </c>
      <c r="C7" s="6"/>
      <c r="D7" s="6"/>
      <c r="E7" s="6"/>
      <c r="F7" s="6"/>
      <c r="G7" s="6"/>
      <c r="H7" s="6"/>
      <c r="I7" s="6"/>
      <c r="J7" s="6"/>
      <c r="K7" s="5"/>
    </row>
    <row r="8" spans="1:12" x14ac:dyDescent="0.3">
      <c r="A8" s="2"/>
      <c r="B8" s="12" t="s">
        <v>47</v>
      </c>
      <c r="C8" s="6"/>
      <c r="D8" s="6"/>
      <c r="E8" s="6"/>
      <c r="F8" s="6"/>
      <c r="G8" s="6"/>
      <c r="H8" s="6"/>
      <c r="I8" s="6"/>
      <c r="J8" s="6"/>
      <c r="K8" s="5"/>
    </row>
    <row r="9" spans="1:12" x14ac:dyDescent="0.3">
      <c r="A9" s="2"/>
      <c r="B9" s="32" t="s">
        <v>51</v>
      </c>
      <c r="C9" s="6"/>
      <c r="D9" s="6"/>
      <c r="E9" s="6"/>
      <c r="F9" s="6"/>
      <c r="G9" s="6"/>
      <c r="H9" s="6"/>
      <c r="I9" s="6"/>
      <c r="J9" s="6"/>
      <c r="K9" s="5"/>
    </row>
    <row r="10" spans="1:12" x14ac:dyDescent="0.3">
      <c r="A10" s="2"/>
      <c r="B10" s="32" t="s">
        <v>59</v>
      </c>
      <c r="C10" s="6"/>
      <c r="D10" s="6"/>
      <c r="E10" s="6"/>
      <c r="F10" s="6"/>
      <c r="G10" s="6"/>
      <c r="H10" s="6"/>
      <c r="I10" s="6"/>
      <c r="J10" s="6"/>
      <c r="K10" s="5"/>
    </row>
    <row r="11" spans="1:12" x14ac:dyDescent="0.3">
      <c r="A11" s="2"/>
      <c r="B11" s="32" t="s">
        <v>64</v>
      </c>
      <c r="C11" s="6"/>
      <c r="D11" s="6"/>
      <c r="E11" s="6"/>
      <c r="F11" s="6"/>
      <c r="G11" s="6"/>
      <c r="H11" s="6"/>
      <c r="I11" s="6"/>
      <c r="J11" s="6"/>
      <c r="K11" s="5"/>
    </row>
    <row r="12" spans="1:12" x14ac:dyDescent="0.3">
      <c r="A12" s="2"/>
      <c r="B12" s="11" t="s">
        <v>36</v>
      </c>
      <c r="C12" s="6"/>
      <c r="D12" s="6"/>
      <c r="E12" s="6"/>
      <c r="F12" s="6"/>
      <c r="G12" s="6"/>
      <c r="H12" s="6"/>
      <c r="I12" s="6"/>
      <c r="J12" s="6"/>
      <c r="K12" s="5"/>
    </row>
    <row r="13" spans="1:12" x14ac:dyDescent="0.3">
      <c r="A13" s="1"/>
      <c r="B13" s="7"/>
      <c r="C13" s="8"/>
      <c r="D13" s="8"/>
      <c r="E13" s="8"/>
      <c r="F13" s="8"/>
      <c r="G13" s="8"/>
      <c r="H13" s="8"/>
      <c r="I13" s="8"/>
      <c r="J13" s="8"/>
      <c r="K13" s="9"/>
    </row>
    <row r="16" spans="1:12" x14ac:dyDescent="0.3">
      <c r="B16" s="13" t="s">
        <v>95</v>
      </c>
      <c r="C16" s="14"/>
      <c r="D16" s="14"/>
      <c r="E16" s="13"/>
      <c r="F16" s="13"/>
      <c r="G16" s="13"/>
      <c r="I16" s="17"/>
    </row>
    <row r="17" spans="1:7" x14ac:dyDescent="0.3">
      <c r="B17" s="13" t="s">
        <v>2</v>
      </c>
      <c r="C17" s="13" t="s">
        <v>3</v>
      </c>
      <c r="D17" s="13">
        <v>2025</v>
      </c>
      <c r="E17" s="13">
        <v>2030</v>
      </c>
      <c r="F17" s="13">
        <v>2040</v>
      </c>
      <c r="G17" s="13">
        <v>2050</v>
      </c>
    </row>
    <row r="18" spans="1:7" x14ac:dyDescent="0.3">
      <c r="B18" t="s">
        <v>12</v>
      </c>
      <c r="C18" t="s">
        <v>42</v>
      </c>
      <c r="D18">
        <v>0.18</v>
      </c>
      <c r="E18">
        <v>1.28</v>
      </c>
      <c r="F18">
        <v>1.28</v>
      </c>
      <c r="G18">
        <v>1.28</v>
      </c>
    </row>
    <row r="19" spans="1:7" x14ac:dyDescent="0.3">
      <c r="B19" t="s">
        <v>13</v>
      </c>
      <c r="C19" t="s">
        <v>42</v>
      </c>
      <c r="E19">
        <v>0.16</v>
      </c>
    </row>
    <row r="20" spans="1:7" x14ac:dyDescent="0.3">
      <c r="B20" t="s">
        <v>17</v>
      </c>
      <c r="C20" t="s">
        <v>42</v>
      </c>
      <c r="E20">
        <v>4.33</v>
      </c>
      <c r="F20">
        <v>4.46</v>
      </c>
      <c r="G20">
        <v>12.03</v>
      </c>
    </row>
    <row r="21" spans="1:7" x14ac:dyDescent="0.3">
      <c r="A21" s="1"/>
      <c r="B21" t="s">
        <v>21</v>
      </c>
      <c r="C21" t="s">
        <v>42</v>
      </c>
      <c r="E21">
        <v>0.25</v>
      </c>
    </row>
    <row r="22" spans="1:7" x14ac:dyDescent="0.3">
      <c r="A22" s="1"/>
      <c r="B22" t="s">
        <v>23</v>
      </c>
      <c r="C22" t="s">
        <v>42</v>
      </c>
      <c r="E22">
        <v>1.7</v>
      </c>
    </row>
    <row r="23" spans="1:7" x14ac:dyDescent="0.3">
      <c r="A23" s="1"/>
      <c r="B23" t="s">
        <v>24</v>
      </c>
      <c r="C23" t="s">
        <v>42</v>
      </c>
      <c r="E23">
        <v>15</v>
      </c>
    </row>
    <row r="24" spans="1:7" x14ac:dyDescent="0.3">
      <c r="A24" s="1"/>
      <c r="B24" t="s">
        <v>25</v>
      </c>
      <c r="C24" t="s">
        <v>42</v>
      </c>
      <c r="E24">
        <v>1.5</v>
      </c>
    </row>
    <row r="25" spans="1:7" x14ac:dyDescent="0.3">
      <c r="A25" s="1"/>
      <c r="B25" t="s">
        <v>30</v>
      </c>
      <c r="C25" t="s">
        <v>42</v>
      </c>
      <c r="E25">
        <v>0.77</v>
      </c>
    </row>
    <row r="26" spans="1:7" x14ac:dyDescent="0.3">
      <c r="A26" s="1"/>
      <c r="B26" t="s">
        <v>31</v>
      </c>
      <c r="C26" t="s">
        <v>42</v>
      </c>
      <c r="D26">
        <v>0.5</v>
      </c>
      <c r="E26">
        <v>2</v>
      </c>
    </row>
    <row r="27" spans="1:7" x14ac:dyDescent="0.3">
      <c r="A27" s="1"/>
      <c r="B27" t="s">
        <v>32</v>
      </c>
      <c r="C27" t="s">
        <v>42</v>
      </c>
      <c r="D27">
        <v>0.2</v>
      </c>
      <c r="E27">
        <v>1.2</v>
      </c>
      <c r="F27">
        <v>2</v>
      </c>
      <c r="G27">
        <v>2</v>
      </c>
    </row>
    <row r="28" spans="1:7" x14ac:dyDescent="0.3">
      <c r="A28" s="1"/>
      <c r="B28" s="24" t="s">
        <v>32</v>
      </c>
      <c r="C28" s="24" t="s">
        <v>43</v>
      </c>
      <c r="D28" s="24"/>
      <c r="E28" s="24"/>
      <c r="F28" s="24"/>
      <c r="G28" s="24">
        <v>0.2</v>
      </c>
    </row>
    <row r="29" spans="1:7" x14ac:dyDescent="0.3">
      <c r="A29" s="1"/>
      <c r="B29" t="s">
        <v>46</v>
      </c>
      <c r="C29" t="s">
        <v>6</v>
      </c>
      <c r="D29">
        <v>1.98</v>
      </c>
      <c r="E29">
        <v>4.05</v>
      </c>
      <c r="F29">
        <v>4.1399999999999997</v>
      </c>
      <c r="G29">
        <v>4.67</v>
      </c>
    </row>
    <row r="30" spans="1:7" x14ac:dyDescent="0.3">
      <c r="A30" s="1"/>
      <c r="B30" t="s">
        <v>18</v>
      </c>
      <c r="C30" t="s">
        <v>6</v>
      </c>
      <c r="D30">
        <v>30.68</v>
      </c>
      <c r="E30">
        <v>30.4</v>
      </c>
    </row>
    <row r="31" spans="1:7" x14ac:dyDescent="0.3">
      <c r="A31" s="1"/>
      <c r="B31" s="24" t="s">
        <v>32</v>
      </c>
      <c r="C31" s="24" t="s">
        <v>6</v>
      </c>
      <c r="D31" s="24">
        <v>1.2</v>
      </c>
      <c r="E31" s="24">
        <v>1.4</v>
      </c>
      <c r="F31" s="24">
        <v>1.4</v>
      </c>
      <c r="G31" s="24">
        <v>1.4</v>
      </c>
    </row>
    <row r="34" spans="2:30" x14ac:dyDescent="0.3">
      <c r="B34" s="31" t="s">
        <v>45</v>
      </c>
      <c r="C34" s="31"/>
      <c r="D34" s="31"/>
      <c r="E34" s="16"/>
      <c r="F34" s="16"/>
    </row>
    <row r="35" spans="2:30" x14ac:dyDescent="0.3">
      <c r="B35" s="10" t="s">
        <v>2</v>
      </c>
      <c r="C35" s="10" t="s">
        <v>3</v>
      </c>
      <c r="D35" s="10">
        <v>2030</v>
      </c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spans="2:30" x14ac:dyDescent="0.3">
      <c r="B36" t="s">
        <v>5</v>
      </c>
      <c r="C36" t="s">
        <v>7</v>
      </c>
      <c r="D36">
        <v>6.5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spans="2:30" x14ac:dyDescent="0.3">
      <c r="B37" t="s">
        <v>11</v>
      </c>
      <c r="C37" t="s">
        <v>7</v>
      </c>
      <c r="D37">
        <v>4.9000000000000004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spans="2:30" x14ac:dyDescent="0.3">
      <c r="B38" t="s">
        <v>12</v>
      </c>
      <c r="C38" t="s">
        <v>7</v>
      </c>
      <c r="D38">
        <v>1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spans="2:30" x14ac:dyDescent="0.3">
      <c r="B39" t="s">
        <v>13</v>
      </c>
      <c r="C39" t="s">
        <v>7</v>
      </c>
      <c r="D39">
        <v>0.2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spans="2:30" x14ac:dyDescent="0.3">
      <c r="B40" t="s">
        <v>21</v>
      </c>
      <c r="C40" t="s">
        <v>7</v>
      </c>
      <c r="D40">
        <v>1.4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spans="2:30" x14ac:dyDescent="0.3">
      <c r="B41" t="s">
        <v>46</v>
      </c>
      <c r="C41" t="s">
        <v>7</v>
      </c>
      <c r="D41">
        <v>1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spans="2:30" x14ac:dyDescent="0.3">
      <c r="B42" t="s">
        <v>15</v>
      </c>
      <c r="C42" t="s">
        <v>7</v>
      </c>
      <c r="D42">
        <v>6.3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6"/>
      <c r="R42" s="16"/>
      <c r="S42" s="16"/>
      <c r="T42" s="16"/>
      <c r="U42" s="16"/>
      <c r="V42" s="16"/>
      <c r="W42" s="17"/>
      <c r="X42" s="17"/>
      <c r="Y42" s="17"/>
      <c r="Z42" s="17"/>
      <c r="AA42" s="17"/>
      <c r="AB42" s="17"/>
      <c r="AC42" s="17"/>
      <c r="AD42" s="17"/>
    </row>
    <row r="43" spans="2:30" x14ac:dyDescent="0.3">
      <c r="B43" t="s">
        <v>16</v>
      </c>
      <c r="C43" t="s">
        <v>7</v>
      </c>
      <c r="D43">
        <v>0.5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spans="2:30" x14ac:dyDescent="0.3">
      <c r="B44" t="s">
        <v>19</v>
      </c>
      <c r="C44" t="s">
        <v>7</v>
      </c>
      <c r="D44">
        <v>5.5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spans="2:30" x14ac:dyDescent="0.3">
      <c r="B45" t="s">
        <v>20</v>
      </c>
      <c r="C45" t="s">
        <v>7</v>
      </c>
      <c r="D45">
        <v>37.700000000000003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spans="2:30" x14ac:dyDescent="0.3">
      <c r="B46" t="s">
        <v>14</v>
      </c>
      <c r="C46" t="s">
        <v>7</v>
      </c>
      <c r="D46">
        <v>63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spans="2:30" x14ac:dyDescent="0.3">
      <c r="B47" t="s">
        <v>17</v>
      </c>
      <c r="C47" t="s">
        <v>7</v>
      </c>
      <c r="D47">
        <v>7.1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spans="2:30" x14ac:dyDescent="0.3">
      <c r="B48" t="s">
        <v>22</v>
      </c>
      <c r="C48" t="s">
        <v>7</v>
      </c>
      <c r="D48">
        <v>0.33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 spans="2:30" x14ac:dyDescent="0.3">
      <c r="B49" t="s">
        <v>23</v>
      </c>
      <c r="C49" t="s">
        <v>7</v>
      </c>
      <c r="D49">
        <v>8.1999999999999993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 spans="2:30" x14ac:dyDescent="0.3">
      <c r="B50" t="s">
        <v>24</v>
      </c>
      <c r="C50" t="s">
        <v>7</v>
      </c>
      <c r="D50">
        <v>18.399999999999999</v>
      </c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spans="2:30" x14ac:dyDescent="0.3">
      <c r="B51" t="s">
        <v>27</v>
      </c>
      <c r="C51" t="s">
        <v>7</v>
      </c>
      <c r="D51">
        <v>1.1000000000000001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 spans="2:30" x14ac:dyDescent="0.3">
      <c r="B52" t="s">
        <v>25</v>
      </c>
      <c r="C52" t="s">
        <v>7</v>
      </c>
      <c r="D52">
        <v>0.9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 spans="2:30" x14ac:dyDescent="0.3">
      <c r="B53" t="s">
        <v>26</v>
      </c>
      <c r="C53" t="s">
        <v>7</v>
      </c>
      <c r="D53">
        <v>0.3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 spans="2:30" x14ac:dyDescent="0.3">
      <c r="B54" t="s">
        <v>28</v>
      </c>
      <c r="C54" t="s">
        <v>7</v>
      </c>
      <c r="D54">
        <v>0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 spans="2:30" x14ac:dyDescent="0.3">
      <c r="B55" t="s">
        <v>29</v>
      </c>
      <c r="C55" t="s">
        <v>7</v>
      </c>
      <c r="D55">
        <v>9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 spans="2:30" x14ac:dyDescent="0.3">
      <c r="B56" t="s">
        <v>30</v>
      </c>
      <c r="C56" t="s">
        <v>7</v>
      </c>
      <c r="D56">
        <v>15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 spans="2:30" x14ac:dyDescent="0.3">
      <c r="B57" t="s">
        <v>31</v>
      </c>
      <c r="C57" t="s">
        <v>7</v>
      </c>
      <c r="D57">
        <v>9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 spans="2:30" x14ac:dyDescent="0.3">
      <c r="B58" t="s">
        <v>32</v>
      </c>
      <c r="C58" t="s">
        <v>7</v>
      </c>
      <c r="D58">
        <v>5.3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 spans="2:30" x14ac:dyDescent="0.3">
      <c r="B59" t="s">
        <v>35</v>
      </c>
      <c r="C59" t="s">
        <v>7</v>
      </c>
      <c r="D59">
        <v>0.5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 spans="2:30" x14ac:dyDescent="0.3">
      <c r="B60" t="s">
        <v>34</v>
      </c>
      <c r="C60" t="s">
        <v>7</v>
      </c>
      <c r="D60">
        <v>0.2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 spans="2:30" x14ac:dyDescent="0.3">
      <c r="B61" t="s">
        <v>18</v>
      </c>
      <c r="C61" t="s">
        <v>7</v>
      </c>
      <c r="D61">
        <v>47.3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 spans="2:30" x14ac:dyDescent="0.3">
      <c r="B62" t="s">
        <v>33</v>
      </c>
      <c r="C62" t="s">
        <v>7</v>
      </c>
      <c r="D62">
        <v>12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 spans="2:30" x14ac:dyDescent="0.3">
      <c r="B63" t="s">
        <v>5</v>
      </c>
      <c r="C63" t="s">
        <v>8</v>
      </c>
      <c r="D63">
        <v>0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 spans="2:30" x14ac:dyDescent="0.3">
      <c r="B64" t="s">
        <v>11</v>
      </c>
      <c r="C64" t="s">
        <v>8</v>
      </c>
      <c r="D64">
        <v>4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 spans="2:30" x14ac:dyDescent="0.3">
      <c r="B65" t="s">
        <v>12</v>
      </c>
      <c r="C65" t="s">
        <v>8</v>
      </c>
      <c r="D65">
        <v>0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 spans="2:30" x14ac:dyDescent="0.3">
      <c r="B66" t="s">
        <v>13</v>
      </c>
      <c r="C66" t="s">
        <v>8</v>
      </c>
      <c r="D66">
        <v>0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 spans="2:30" x14ac:dyDescent="0.3">
      <c r="B67" t="s">
        <v>21</v>
      </c>
      <c r="C67" t="s">
        <v>8</v>
      </c>
      <c r="D67">
        <v>0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 spans="2:30" x14ac:dyDescent="0.3">
      <c r="B68" t="s">
        <v>46</v>
      </c>
      <c r="C68" t="s">
        <v>8</v>
      </c>
      <c r="D68">
        <v>0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 spans="2:30" x14ac:dyDescent="0.3">
      <c r="B69" t="s">
        <v>15</v>
      </c>
      <c r="C69" t="s">
        <v>8</v>
      </c>
      <c r="D69">
        <v>10.3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 spans="2:30" x14ac:dyDescent="0.3">
      <c r="B70" t="s">
        <v>16</v>
      </c>
      <c r="C70" t="s">
        <v>8</v>
      </c>
      <c r="D70">
        <v>0.7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 spans="2:30" x14ac:dyDescent="0.3">
      <c r="B71" t="s">
        <v>19</v>
      </c>
      <c r="C71" t="s">
        <v>8</v>
      </c>
      <c r="D71">
        <v>7.0000000000000007E-2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 spans="2:30" x14ac:dyDescent="0.3">
      <c r="B72" t="s">
        <v>20</v>
      </c>
      <c r="C72" t="s">
        <v>8</v>
      </c>
      <c r="D72">
        <v>7.4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 spans="2:30" x14ac:dyDescent="0.3">
      <c r="B73" t="s">
        <v>14</v>
      </c>
      <c r="C73" t="s">
        <v>8</v>
      </c>
      <c r="D73">
        <v>20</v>
      </c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 spans="2:30" x14ac:dyDescent="0.3">
      <c r="B74" t="s">
        <v>17</v>
      </c>
      <c r="C74" t="s">
        <v>8</v>
      </c>
      <c r="D74">
        <v>0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 spans="2:30" x14ac:dyDescent="0.3">
      <c r="B75" t="s">
        <v>22</v>
      </c>
      <c r="C75" t="s">
        <v>8</v>
      </c>
      <c r="D75">
        <v>0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spans="2:30" x14ac:dyDescent="0.3">
      <c r="B76" t="s">
        <v>23</v>
      </c>
      <c r="C76" t="s">
        <v>8</v>
      </c>
      <c r="D76">
        <v>5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 spans="2:30" x14ac:dyDescent="0.3">
      <c r="B77" t="s">
        <v>24</v>
      </c>
      <c r="C77" t="s">
        <v>8</v>
      </c>
      <c r="D77">
        <v>0.9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 spans="2:30" x14ac:dyDescent="0.3">
      <c r="B78" t="s">
        <v>27</v>
      </c>
      <c r="C78" t="s">
        <v>8</v>
      </c>
      <c r="D78">
        <v>0</v>
      </c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 spans="2:30" x14ac:dyDescent="0.3">
      <c r="B79" t="s">
        <v>25</v>
      </c>
      <c r="C79" t="s">
        <v>8</v>
      </c>
      <c r="D79">
        <v>0.7</v>
      </c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 spans="2:30" x14ac:dyDescent="0.3">
      <c r="B80" t="s">
        <v>26</v>
      </c>
      <c r="C80" t="s">
        <v>8</v>
      </c>
      <c r="D80">
        <v>0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 spans="2:30" x14ac:dyDescent="0.3">
      <c r="B81" t="s">
        <v>28</v>
      </c>
      <c r="C81" t="s">
        <v>8</v>
      </c>
      <c r="D81">
        <v>0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 spans="2:30" x14ac:dyDescent="0.3">
      <c r="B82" t="s">
        <v>29</v>
      </c>
      <c r="C82" t="s">
        <v>8</v>
      </c>
      <c r="D82">
        <v>11.5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 spans="2:30" x14ac:dyDescent="0.3">
      <c r="B83" t="s">
        <v>30</v>
      </c>
      <c r="C83" t="s">
        <v>8</v>
      </c>
      <c r="D83">
        <v>7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 spans="2:30" x14ac:dyDescent="0.3">
      <c r="B84" t="s">
        <v>31</v>
      </c>
      <c r="C84" t="s">
        <v>8</v>
      </c>
      <c r="D84">
        <v>0.2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 spans="2:30" x14ac:dyDescent="0.3">
      <c r="B85" t="s">
        <v>32</v>
      </c>
      <c r="C85" t="s">
        <v>8</v>
      </c>
      <c r="D85">
        <v>0.3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 spans="2:30" x14ac:dyDescent="0.3">
      <c r="B86" t="s">
        <v>35</v>
      </c>
      <c r="C86" t="s">
        <v>8</v>
      </c>
      <c r="D86">
        <v>0</v>
      </c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 spans="2:30" x14ac:dyDescent="0.3">
      <c r="B87" t="s">
        <v>34</v>
      </c>
      <c r="C87" t="s">
        <v>8</v>
      </c>
      <c r="D87">
        <v>0</v>
      </c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 spans="2:30" x14ac:dyDescent="0.3">
      <c r="B88" t="s">
        <v>18</v>
      </c>
      <c r="C88" t="s">
        <v>8</v>
      </c>
      <c r="D88">
        <v>3</v>
      </c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 spans="2:30" x14ac:dyDescent="0.3">
      <c r="B89" t="s">
        <v>33</v>
      </c>
      <c r="C89" t="s">
        <v>8</v>
      </c>
      <c r="D89">
        <v>0.2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 spans="2:30" x14ac:dyDescent="0.3"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 spans="2:30" x14ac:dyDescent="0.3"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 spans="2:30" x14ac:dyDescent="0.3">
      <c r="B92" s="30" t="s">
        <v>48</v>
      </c>
      <c r="C92" s="30"/>
      <c r="D92" s="30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 spans="2:30" x14ac:dyDescent="0.3">
      <c r="B93" s="18" t="s">
        <v>2</v>
      </c>
      <c r="C93" s="18" t="s">
        <v>3</v>
      </c>
      <c r="D93" s="18">
        <v>2030</v>
      </c>
      <c r="E93" s="16"/>
      <c r="F93" s="16" t="s">
        <v>96</v>
      </c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 spans="2:30" x14ac:dyDescent="0.3">
      <c r="B94" t="s">
        <v>5</v>
      </c>
      <c r="C94" s="15" t="s">
        <v>9</v>
      </c>
      <c r="D94">
        <v>25.2</v>
      </c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 spans="2:30" x14ac:dyDescent="0.3">
      <c r="B95" t="s">
        <v>11</v>
      </c>
      <c r="C95" s="15" t="s">
        <v>9</v>
      </c>
      <c r="D95">
        <v>22.5</v>
      </c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 spans="2:30" x14ac:dyDescent="0.3">
      <c r="B96" t="s">
        <v>12</v>
      </c>
      <c r="C96" s="15" t="s">
        <v>9</v>
      </c>
      <c r="D96">
        <v>15.8</v>
      </c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 spans="2:30" x14ac:dyDescent="0.3">
      <c r="B97" t="s">
        <v>21</v>
      </c>
      <c r="C97" s="15" t="s">
        <v>9</v>
      </c>
      <c r="D97">
        <v>4.7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 spans="2:30" x14ac:dyDescent="0.3">
      <c r="B98" t="s">
        <v>13</v>
      </c>
      <c r="C98" s="15" t="s">
        <v>9</v>
      </c>
      <c r="D98">
        <v>2.8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 spans="2:30" x14ac:dyDescent="0.3">
      <c r="B99" t="s">
        <v>46</v>
      </c>
      <c r="C99" s="15" t="s">
        <v>9</v>
      </c>
      <c r="D99">
        <v>17.100000000000001</v>
      </c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 spans="2:30" x14ac:dyDescent="0.3">
      <c r="B100" t="s">
        <v>15</v>
      </c>
      <c r="C100" s="15" t="s">
        <v>9</v>
      </c>
      <c r="D100">
        <v>23.6</v>
      </c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 spans="2:30" x14ac:dyDescent="0.3">
      <c r="B101" t="s">
        <v>16</v>
      </c>
      <c r="C101" s="15" t="s">
        <v>9</v>
      </c>
      <c r="D101">
        <v>3.9</v>
      </c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  <row r="102" spans="2:30" x14ac:dyDescent="0.3">
      <c r="B102" t="s">
        <v>19</v>
      </c>
      <c r="C102" s="15" t="s">
        <v>9</v>
      </c>
      <c r="D102">
        <v>11.5</v>
      </c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</row>
    <row r="103" spans="2:30" x14ac:dyDescent="0.3">
      <c r="B103" t="s">
        <v>20</v>
      </c>
      <c r="C103" s="15" t="s">
        <v>9</v>
      </c>
      <c r="D103">
        <v>67.7</v>
      </c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</row>
    <row r="104" spans="2:30" x14ac:dyDescent="0.3">
      <c r="B104" t="s">
        <v>14</v>
      </c>
      <c r="C104" s="15" t="s">
        <v>9</v>
      </c>
      <c r="D104">
        <v>231.6</v>
      </c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</row>
    <row r="105" spans="2:30" x14ac:dyDescent="0.3">
      <c r="B105" t="s">
        <v>17</v>
      </c>
      <c r="C105" s="15" t="s">
        <v>9</v>
      </c>
      <c r="D105">
        <v>29.6</v>
      </c>
      <c r="G105" s="16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 spans="2:30" x14ac:dyDescent="0.3">
      <c r="B106" t="s">
        <v>22</v>
      </c>
      <c r="C106" s="15" t="s">
        <v>9</v>
      </c>
      <c r="D106">
        <v>16.399999999999999</v>
      </c>
      <c r="G106" s="16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 spans="2:30" x14ac:dyDescent="0.3">
      <c r="B107" t="s">
        <v>23</v>
      </c>
      <c r="C107" s="15" t="s">
        <v>9</v>
      </c>
      <c r="D107">
        <v>14.4</v>
      </c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 spans="2:30" x14ac:dyDescent="0.3">
      <c r="B108" t="s">
        <v>24</v>
      </c>
      <c r="C108" s="15" t="s">
        <v>9</v>
      </c>
      <c r="D108">
        <v>81.599999999999994</v>
      </c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 spans="2:30" x14ac:dyDescent="0.3">
      <c r="B109" t="s">
        <v>49</v>
      </c>
      <c r="C109" s="15" t="s">
        <v>9</v>
      </c>
      <c r="D109">
        <v>3.5</v>
      </c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 spans="2:30" x14ac:dyDescent="0.3">
      <c r="B110" t="s">
        <v>25</v>
      </c>
      <c r="C110" s="15" t="s">
        <v>9</v>
      </c>
      <c r="D110">
        <v>3.8</v>
      </c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 spans="2:30" x14ac:dyDescent="0.3">
      <c r="B111" t="s">
        <v>26</v>
      </c>
      <c r="C111" s="15" t="s">
        <v>9</v>
      </c>
      <c r="D111">
        <v>2.6</v>
      </c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 spans="2:30" x14ac:dyDescent="0.3">
      <c r="B112" t="s">
        <v>28</v>
      </c>
      <c r="C112" s="15" t="s">
        <v>9</v>
      </c>
      <c r="D112">
        <v>1.2</v>
      </c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 spans="2:30" x14ac:dyDescent="0.3">
      <c r="B113" t="s">
        <v>29</v>
      </c>
      <c r="C113" s="15" t="s">
        <v>9</v>
      </c>
      <c r="D113">
        <v>62.4</v>
      </c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</row>
    <row r="114" spans="2:30" x14ac:dyDescent="0.3">
      <c r="B114" t="s">
        <v>30</v>
      </c>
      <c r="C114" s="15" t="s">
        <v>9</v>
      </c>
      <c r="D114">
        <v>70.099999999999994</v>
      </c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 spans="2:30" x14ac:dyDescent="0.3">
      <c r="B115" t="s">
        <v>50</v>
      </c>
      <c r="C115" s="15" t="s">
        <v>9</v>
      </c>
      <c r="D115">
        <v>30.4</v>
      </c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 spans="2:30" x14ac:dyDescent="0.3">
      <c r="B116" t="s">
        <v>32</v>
      </c>
      <c r="C116" s="15" t="s">
        <v>9</v>
      </c>
      <c r="D116">
        <v>20.7</v>
      </c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</row>
    <row r="117" spans="2:30" x14ac:dyDescent="0.3">
      <c r="B117" t="s">
        <v>35</v>
      </c>
      <c r="C117" s="15" t="s">
        <v>9</v>
      </c>
      <c r="D117">
        <v>2.4</v>
      </c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 spans="2:30" x14ac:dyDescent="0.3">
      <c r="B118" t="s">
        <v>34</v>
      </c>
      <c r="C118" s="15" t="s">
        <v>9</v>
      </c>
      <c r="D118">
        <v>6.6</v>
      </c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 spans="2:30" x14ac:dyDescent="0.3">
      <c r="B119" t="s">
        <v>18</v>
      </c>
      <c r="C119" s="15" t="s">
        <v>9</v>
      </c>
      <c r="D119">
        <v>154.6</v>
      </c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 spans="2:30" x14ac:dyDescent="0.3">
      <c r="B120" t="s">
        <v>33</v>
      </c>
      <c r="C120" s="15" t="s">
        <v>9</v>
      </c>
      <c r="D120">
        <v>21.7</v>
      </c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 spans="2:30" x14ac:dyDescent="0.3"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 spans="2:30" x14ac:dyDescent="0.3">
      <c r="B122" s="26" t="s">
        <v>52</v>
      </c>
      <c r="C122" s="26"/>
      <c r="D122" s="26"/>
      <c r="E122" s="2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 spans="2:30" x14ac:dyDescent="0.3">
      <c r="B123" s="19" t="s">
        <v>2</v>
      </c>
      <c r="C123" s="19" t="s">
        <v>3</v>
      </c>
      <c r="D123" s="19" t="s">
        <v>53</v>
      </c>
      <c r="E123" s="19" t="s">
        <v>54</v>
      </c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 spans="2:30" x14ac:dyDescent="0.3">
      <c r="B124" t="s">
        <v>11</v>
      </c>
      <c r="C124" t="s">
        <v>1</v>
      </c>
      <c r="D124" t="s">
        <v>58</v>
      </c>
      <c r="E124">
        <v>0</v>
      </c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 spans="2:30" x14ac:dyDescent="0.3">
      <c r="B125" t="s">
        <v>12</v>
      </c>
      <c r="C125" t="s">
        <v>1</v>
      </c>
      <c r="D125" t="s">
        <v>58</v>
      </c>
      <c r="E125">
        <v>0</v>
      </c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 spans="2:30" x14ac:dyDescent="0.3">
      <c r="B126" t="s">
        <v>46</v>
      </c>
      <c r="C126" t="s">
        <v>1</v>
      </c>
      <c r="D126" t="s">
        <v>58</v>
      </c>
      <c r="E126">
        <v>0</v>
      </c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</row>
    <row r="127" spans="2:30" x14ac:dyDescent="0.3">
      <c r="B127" t="s">
        <v>19</v>
      </c>
      <c r="C127" t="s">
        <v>1</v>
      </c>
      <c r="D127" t="s">
        <v>58</v>
      </c>
      <c r="E127">
        <v>0</v>
      </c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</row>
    <row r="128" spans="2:30" x14ac:dyDescent="0.3">
      <c r="B128" t="s">
        <v>20</v>
      </c>
      <c r="C128" t="s">
        <v>1</v>
      </c>
      <c r="D128" t="s">
        <v>58</v>
      </c>
      <c r="E128">
        <v>0</v>
      </c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 spans="2:30" x14ac:dyDescent="0.3">
      <c r="B129" t="s">
        <v>14</v>
      </c>
      <c r="C129" t="s">
        <v>1</v>
      </c>
      <c r="D129" t="s">
        <v>58</v>
      </c>
      <c r="E129">
        <v>0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</row>
    <row r="130" spans="2:30" x14ac:dyDescent="0.3">
      <c r="B130" t="s">
        <v>55</v>
      </c>
      <c r="C130" t="s">
        <v>1</v>
      </c>
      <c r="D130" t="s">
        <v>58</v>
      </c>
      <c r="E130">
        <v>0</v>
      </c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 spans="2:30" x14ac:dyDescent="0.3">
      <c r="B131" t="s">
        <v>56</v>
      </c>
      <c r="C131" t="s">
        <v>1</v>
      </c>
      <c r="D131" t="s">
        <v>58</v>
      </c>
      <c r="E131">
        <v>0</v>
      </c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 spans="2:30" x14ac:dyDescent="0.3">
      <c r="B132" t="s">
        <v>25</v>
      </c>
      <c r="C132" t="s">
        <v>1</v>
      </c>
      <c r="D132" t="s">
        <v>58</v>
      </c>
      <c r="E132">
        <v>0</v>
      </c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 spans="2:30" x14ac:dyDescent="0.3">
      <c r="B133" t="s">
        <v>29</v>
      </c>
      <c r="C133" t="s">
        <v>1</v>
      </c>
      <c r="D133" t="s">
        <v>58</v>
      </c>
      <c r="E133">
        <v>0</v>
      </c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</row>
    <row r="134" spans="2:30" x14ac:dyDescent="0.3">
      <c r="B134" t="s">
        <v>32</v>
      </c>
      <c r="C134" t="s">
        <v>1</v>
      </c>
      <c r="D134" t="s">
        <v>58</v>
      </c>
      <c r="E134">
        <v>0</v>
      </c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</row>
    <row r="135" spans="2:30" x14ac:dyDescent="0.3">
      <c r="B135" t="s">
        <v>35</v>
      </c>
      <c r="C135" t="s">
        <v>1</v>
      </c>
      <c r="D135">
        <v>2025</v>
      </c>
      <c r="E135">
        <f>471/1000</f>
        <v>0.47099999999999997</v>
      </c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</row>
    <row r="136" spans="2:30" x14ac:dyDescent="0.3">
      <c r="B136" t="s">
        <v>57</v>
      </c>
      <c r="C136" t="s">
        <v>1</v>
      </c>
      <c r="D136" t="s">
        <v>58</v>
      </c>
      <c r="E136">
        <v>0</v>
      </c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</row>
    <row r="137" spans="2:30" x14ac:dyDescent="0.3">
      <c r="B137" t="s">
        <v>18</v>
      </c>
      <c r="C137" t="s">
        <v>1</v>
      </c>
      <c r="D137" t="s">
        <v>58</v>
      </c>
      <c r="E137">
        <v>0</v>
      </c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 spans="2:30" x14ac:dyDescent="0.3">
      <c r="B138" t="s">
        <v>33</v>
      </c>
      <c r="C138" t="s">
        <v>1</v>
      </c>
      <c r="D138" t="s">
        <v>58</v>
      </c>
      <c r="E138">
        <v>0</v>
      </c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</row>
    <row r="139" spans="2:30" x14ac:dyDescent="0.3">
      <c r="B139" t="s">
        <v>39</v>
      </c>
      <c r="C139" t="s">
        <v>1</v>
      </c>
      <c r="D139" t="s">
        <v>58</v>
      </c>
      <c r="E139">
        <v>0</v>
      </c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</row>
    <row r="140" spans="2:30" x14ac:dyDescent="0.3">
      <c r="B140" t="s">
        <v>40</v>
      </c>
      <c r="C140" t="s">
        <v>1</v>
      </c>
      <c r="D140">
        <v>2031</v>
      </c>
      <c r="E140">
        <f>1720/1000*2</f>
        <v>3.44</v>
      </c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 spans="2:30" x14ac:dyDescent="0.3"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 spans="2:30" x14ac:dyDescent="0.3">
      <c r="B142" s="26" t="s">
        <v>62</v>
      </c>
      <c r="C142" s="26"/>
      <c r="D142" s="26"/>
      <c r="E142" s="26"/>
      <c r="F142" s="26"/>
      <c r="G142" s="21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 spans="2:30" x14ac:dyDescent="0.3">
      <c r="B143" s="19" t="s">
        <v>2</v>
      </c>
      <c r="C143" s="19" t="s">
        <v>3</v>
      </c>
      <c r="D143" s="19" t="s">
        <v>53</v>
      </c>
      <c r="E143" s="19" t="s">
        <v>60</v>
      </c>
      <c r="F143" s="19" t="s">
        <v>61</v>
      </c>
      <c r="G143" s="19" t="s">
        <v>63</v>
      </c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</row>
    <row r="144" spans="2:30" x14ac:dyDescent="0.3">
      <c r="B144" t="s">
        <v>5</v>
      </c>
      <c r="C144" t="s">
        <v>10</v>
      </c>
      <c r="D144" s="20">
        <v>2035</v>
      </c>
      <c r="E144">
        <v>0.44</v>
      </c>
      <c r="F144" s="20">
        <v>64</v>
      </c>
      <c r="G144">
        <f>F144*0.0036</f>
        <v>0.23039999999999999</v>
      </c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</row>
    <row r="145" spans="2:30" x14ac:dyDescent="0.3">
      <c r="B145" t="s">
        <v>12</v>
      </c>
      <c r="C145" t="s">
        <v>10</v>
      </c>
      <c r="D145" s="20">
        <v>2030</v>
      </c>
      <c r="E145">
        <v>0.86399999999999999</v>
      </c>
      <c r="F145" s="20">
        <v>86</v>
      </c>
      <c r="G145">
        <f>F145*0.0036</f>
        <v>0.30959999999999999</v>
      </c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 spans="2:30" x14ac:dyDescent="0.3">
      <c r="B146" t="s">
        <v>12</v>
      </c>
      <c r="C146" t="s">
        <v>10</v>
      </c>
      <c r="D146" s="20">
        <v>2030</v>
      </c>
      <c r="E146">
        <v>0.8</v>
      </c>
      <c r="F146" s="20">
        <v>14</v>
      </c>
      <c r="G146">
        <f>F146*0.0036</f>
        <v>5.04E-2</v>
      </c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 spans="2:30" x14ac:dyDescent="0.3">
      <c r="B147" t="s">
        <v>12</v>
      </c>
      <c r="C147" t="s">
        <v>10</v>
      </c>
      <c r="D147" s="20">
        <v>2032</v>
      </c>
      <c r="E147">
        <v>0.8</v>
      </c>
      <c r="F147" s="20">
        <v>14</v>
      </c>
      <c r="G147">
        <f>F147*0.0036</f>
        <v>5.04E-2</v>
      </c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</row>
    <row r="148" spans="2:30" x14ac:dyDescent="0.3">
      <c r="B148" s="17" t="s">
        <v>15</v>
      </c>
      <c r="C148" s="17" t="s">
        <v>10</v>
      </c>
      <c r="D148" s="33">
        <v>2028</v>
      </c>
      <c r="E148" s="17">
        <v>0.32</v>
      </c>
      <c r="F148" s="33">
        <v>16</v>
      </c>
      <c r="G148" s="17">
        <f>F148*0.0036</f>
        <v>5.7599999999999998E-2</v>
      </c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</row>
    <row r="149" spans="2:30" x14ac:dyDescent="0.3">
      <c r="B149" s="17" t="s">
        <v>16</v>
      </c>
      <c r="C149" s="17" t="s">
        <v>10</v>
      </c>
      <c r="D149" s="33">
        <v>2032</v>
      </c>
      <c r="E149" s="17">
        <v>0.52</v>
      </c>
      <c r="F149" s="33">
        <v>6</v>
      </c>
      <c r="G149" s="17">
        <f>F149*0.0036</f>
        <v>2.1600000000000001E-2</v>
      </c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 spans="2:30" x14ac:dyDescent="0.3">
      <c r="B150" s="17" t="s">
        <v>16</v>
      </c>
      <c r="C150" s="17" t="s">
        <v>10</v>
      </c>
      <c r="D150" s="33">
        <v>2034</v>
      </c>
      <c r="E150" s="17">
        <v>0.32500000000000001</v>
      </c>
      <c r="F150" s="33">
        <v>858</v>
      </c>
      <c r="G150" s="17">
        <f>F150*0.0036</f>
        <v>3.0888</v>
      </c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 spans="2:30" x14ac:dyDescent="0.3">
      <c r="B151" s="17" t="s">
        <v>19</v>
      </c>
      <c r="C151" s="17" t="s">
        <v>10</v>
      </c>
      <c r="D151" s="33">
        <v>2032</v>
      </c>
      <c r="E151" s="17">
        <v>0.55000000000000004</v>
      </c>
      <c r="F151" s="33">
        <v>4</v>
      </c>
      <c r="G151" s="17">
        <f>F151*0.0036</f>
        <v>1.44E-2</v>
      </c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 spans="2:30" x14ac:dyDescent="0.3">
      <c r="B152" s="17" t="s">
        <v>14</v>
      </c>
      <c r="C152" s="17" t="s">
        <v>10</v>
      </c>
      <c r="D152" s="33">
        <v>2030</v>
      </c>
      <c r="E152" s="17">
        <v>0.3</v>
      </c>
      <c r="F152" s="33">
        <v>4</v>
      </c>
      <c r="G152" s="17">
        <f>F152*0.0036</f>
        <v>1.44E-2</v>
      </c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</row>
    <row r="153" spans="2:30" x14ac:dyDescent="0.3">
      <c r="B153" s="17" t="s">
        <v>14</v>
      </c>
      <c r="C153" s="17" t="s">
        <v>10</v>
      </c>
      <c r="D153" s="33">
        <v>2030</v>
      </c>
      <c r="E153" s="17">
        <v>0.3</v>
      </c>
      <c r="F153" s="33">
        <v>3</v>
      </c>
      <c r="G153" s="17">
        <f>F153*0.0036</f>
        <v>1.0800000000000001E-2</v>
      </c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</row>
    <row r="154" spans="2:30" x14ac:dyDescent="0.3">
      <c r="B154" s="17" t="s">
        <v>14</v>
      </c>
      <c r="C154" s="17" t="s">
        <v>10</v>
      </c>
      <c r="D154" s="33">
        <v>2034</v>
      </c>
      <c r="E154" s="17">
        <v>0.40200000000000002</v>
      </c>
      <c r="F154" s="33">
        <v>3</v>
      </c>
      <c r="G154" s="17">
        <f>F154*0.0036</f>
        <v>1.0800000000000001E-2</v>
      </c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</row>
    <row r="155" spans="2:30" x14ac:dyDescent="0.3">
      <c r="B155" s="17" t="s">
        <v>14</v>
      </c>
      <c r="C155" s="17" t="s">
        <v>10</v>
      </c>
      <c r="D155" s="33">
        <v>2029</v>
      </c>
      <c r="E155" s="17">
        <v>0.32</v>
      </c>
      <c r="F155" s="33">
        <v>27</v>
      </c>
      <c r="G155" s="17">
        <f>F155*0.0036</f>
        <v>9.7199999999999995E-2</v>
      </c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</row>
    <row r="156" spans="2:30" x14ac:dyDescent="0.3">
      <c r="B156" s="17" t="s">
        <v>17</v>
      </c>
      <c r="C156" s="17" t="s">
        <v>10</v>
      </c>
      <c r="D156" s="33">
        <v>2026</v>
      </c>
      <c r="E156" s="17">
        <v>0.68</v>
      </c>
      <c r="F156" s="33">
        <v>5</v>
      </c>
      <c r="G156" s="17">
        <f>F156*0.0036</f>
        <v>1.7999999999999999E-2</v>
      </c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 spans="2:30" x14ac:dyDescent="0.3">
      <c r="B157" s="17" t="s">
        <v>17</v>
      </c>
      <c r="C157" s="17" t="s">
        <v>10</v>
      </c>
      <c r="D157" s="33">
        <v>2027</v>
      </c>
      <c r="E157" s="17">
        <v>0.25</v>
      </c>
      <c r="F157" s="33">
        <v>1</v>
      </c>
      <c r="G157" s="17">
        <f>F157*0.0036</f>
        <v>3.5999999999999999E-3</v>
      </c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</row>
    <row r="158" spans="2:30" x14ac:dyDescent="0.3">
      <c r="B158" s="17" t="s">
        <v>17</v>
      </c>
      <c r="C158" s="17" t="s">
        <v>10</v>
      </c>
      <c r="D158" s="33">
        <v>2031</v>
      </c>
      <c r="E158" s="17">
        <v>0.77500000000000002</v>
      </c>
      <c r="F158" s="33">
        <v>8</v>
      </c>
      <c r="G158" s="17">
        <f>F158*0.0036</f>
        <v>2.8799999999999999E-2</v>
      </c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</row>
    <row r="159" spans="2:30" x14ac:dyDescent="0.3">
      <c r="B159" s="17" t="s">
        <v>17</v>
      </c>
      <c r="C159" s="17" t="s">
        <v>10</v>
      </c>
      <c r="D159" s="33">
        <v>2031</v>
      </c>
      <c r="E159" s="17">
        <v>0.22</v>
      </c>
      <c r="F159" s="33">
        <v>2</v>
      </c>
      <c r="G159" s="17">
        <f>F159*0.0036</f>
        <v>7.1999999999999998E-3</v>
      </c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W159" s="17"/>
      <c r="X159" s="17"/>
      <c r="Y159" s="17"/>
      <c r="Z159" s="17"/>
      <c r="AA159" s="17"/>
      <c r="AB159" s="17"/>
      <c r="AC159" s="17"/>
      <c r="AD159" s="17"/>
    </row>
    <row r="160" spans="2:30" x14ac:dyDescent="0.3">
      <c r="B160" s="17" t="s">
        <v>23</v>
      </c>
      <c r="C160" s="17" t="s">
        <v>10</v>
      </c>
      <c r="D160" s="33">
        <v>2030</v>
      </c>
      <c r="E160" s="17">
        <v>0.36</v>
      </c>
      <c r="F160" s="33">
        <v>2</v>
      </c>
      <c r="G160" s="17">
        <f>F160*0.0036</f>
        <v>7.1999999999999998E-3</v>
      </c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W160" s="17"/>
      <c r="X160" s="17"/>
      <c r="Y160" s="17"/>
      <c r="Z160" s="17"/>
      <c r="AA160" s="17"/>
      <c r="AB160" s="17"/>
      <c r="AC160" s="17"/>
      <c r="AD160" s="17"/>
    </row>
    <row r="161" spans="2:30" x14ac:dyDescent="0.3">
      <c r="B161" s="17" t="s">
        <v>24</v>
      </c>
      <c r="C161" s="17" t="s">
        <v>10</v>
      </c>
      <c r="D161" s="33">
        <v>2029</v>
      </c>
      <c r="E161" s="17">
        <v>0.27</v>
      </c>
      <c r="F161" s="33">
        <v>1.91</v>
      </c>
      <c r="G161" s="17">
        <f>F161*0.0036</f>
        <v>6.8759999999999993E-3</v>
      </c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W161" s="17"/>
      <c r="X161" s="17"/>
      <c r="Y161" s="17"/>
      <c r="Z161" s="17"/>
      <c r="AA161" s="17"/>
      <c r="AB161" s="17"/>
      <c r="AC161" s="17"/>
      <c r="AD161" s="17"/>
    </row>
    <row r="162" spans="2:30" x14ac:dyDescent="0.3">
      <c r="B162" s="17" t="s">
        <v>24</v>
      </c>
      <c r="C162" s="17" t="s">
        <v>10</v>
      </c>
      <c r="D162" s="33">
        <v>2031</v>
      </c>
      <c r="E162" s="17">
        <v>0.34</v>
      </c>
      <c r="F162" s="33">
        <v>3.04</v>
      </c>
      <c r="G162" s="17">
        <f>F162*0.0036</f>
        <v>1.0944000000000001E-2</v>
      </c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W162" s="17"/>
      <c r="X162" s="17"/>
      <c r="Y162" s="17"/>
      <c r="Z162" s="17"/>
      <c r="AA162" s="17"/>
      <c r="AB162" s="17"/>
      <c r="AC162" s="17"/>
      <c r="AD162" s="17"/>
    </row>
    <row r="163" spans="2:30" x14ac:dyDescent="0.3">
      <c r="B163" s="17" t="s">
        <v>24</v>
      </c>
      <c r="C163" s="17" t="s">
        <v>10</v>
      </c>
      <c r="D163" s="33">
        <v>2032</v>
      </c>
      <c r="E163" s="17">
        <v>0.255</v>
      </c>
      <c r="F163" s="33">
        <v>1.68</v>
      </c>
      <c r="G163" s="17">
        <f>F163*0.0036</f>
        <v>6.0479999999999996E-3</v>
      </c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W163" s="17"/>
      <c r="X163" s="17"/>
      <c r="Y163" s="17"/>
      <c r="Z163" s="17"/>
      <c r="AA163" s="17"/>
      <c r="AB163" s="17"/>
      <c r="AC163" s="17"/>
      <c r="AD163" s="17"/>
    </row>
    <row r="164" spans="2:30" x14ac:dyDescent="0.3">
      <c r="B164" s="17" t="s">
        <v>24</v>
      </c>
      <c r="C164" s="17" t="s">
        <v>10</v>
      </c>
      <c r="D164" s="33">
        <v>2030</v>
      </c>
      <c r="E164" s="17">
        <v>0.3</v>
      </c>
      <c r="F164" s="33">
        <v>2.78</v>
      </c>
      <c r="G164" s="17">
        <f>F164*0.0036</f>
        <v>1.0008E-2</v>
      </c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W164" s="17"/>
      <c r="X164" s="17"/>
      <c r="Y164" s="17"/>
      <c r="Z164" s="17"/>
      <c r="AA164" s="17"/>
      <c r="AB164" s="17"/>
      <c r="AC164" s="17"/>
      <c r="AD164" s="17"/>
    </row>
    <row r="165" spans="2:30" x14ac:dyDescent="0.3">
      <c r="B165" s="17" t="s">
        <v>29</v>
      </c>
      <c r="C165" s="17" t="s">
        <v>10</v>
      </c>
      <c r="D165" s="33">
        <v>2027</v>
      </c>
      <c r="E165" s="17">
        <v>0.32</v>
      </c>
      <c r="F165" s="33">
        <v>27</v>
      </c>
      <c r="G165" s="17">
        <f>F165*0.0036</f>
        <v>9.7199999999999995E-2</v>
      </c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W165" s="17"/>
      <c r="X165" s="17"/>
      <c r="Y165" s="17"/>
      <c r="Z165" s="17"/>
      <c r="AA165" s="17"/>
      <c r="AB165" s="17"/>
      <c r="AC165" s="17"/>
      <c r="AD165" s="17"/>
    </row>
    <row r="166" spans="2:30" x14ac:dyDescent="0.3">
      <c r="B166" s="17" t="s">
        <v>29</v>
      </c>
      <c r="C166" s="17" t="s">
        <v>10</v>
      </c>
      <c r="D166" s="33">
        <v>2029</v>
      </c>
      <c r="E166" s="17">
        <v>0.32</v>
      </c>
      <c r="F166" s="33">
        <v>27</v>
      </c>
      <c r="G166" s="17">
        <f>F166*0.0036</f>
        <v>9.7199999999999995E-2</v>
      </c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W166" s="17"/>
      <c r="X166" s="17"/>
      <c r="Y166" s="17"/>
      <c r="Z166" s="17"/>
      <c r="AA166" s="17"/>
      <c r="AB166" s="17"/>
      <c r="AC166" s="17"/>
      <c r="AD166" s="17"/>
    </row>
    <row r="167" spans="2:30" x14ac:dyDescent="0.3">
      <c r="B167" s="17" t="s">
        <v>35</v>
      </c>
      <c r="C167" s="17" t="s">
        <v>10</v>
      </c>
      <c r="D167" s="33">
        <v>2030</v>
      </c>
      <c r="E167" s="17">
        <v>0.73</v>
      </c>
      <c r="F167" s="33">
        <v>4</v>
      </c>
      <c r="G167" s="17">
        <f>F167*0.0036</f>
        <v>1.44E-2</v>
      </c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W167" s="17"/>
      <c r="X167" s="17"/>
      <c r="Y167" s="17"/>
      <c r="Z167" s="17"/>
      <c r="AA167" s="17"/>
      <c r="AB167" s="17"/>
      <c r="AC167" s="17"/>
      <c r="AD167" s="17"/>
    </row>
    <row r="168" spans="2:30" x14ac:dyDescent="0.3">
      <c r="B168" s="17" t="s">
        <v>34</v>
      </c>
      <c r="C168" s="17" t="s">
        <v>10</v>
      </c>
      <c r="D168" s="33">
        <v>2030</v>
      </c>
      <c r="E168" s="17">
        <v>0.44</v>
      </c>
      <c r="F168" s="33">
        <v>5</v>
      </c>
      <c r="G168" s="17">
        <f>F168*0.0036</f>
        <v>1.7999999999999999E-2</v>
      </c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W168" s="17"/>
      <c r="X168" s="17"/>
      <c r="Y168" s="17"/>
      <c r="Z168" s="17"/>
      <c r="AA168" s="17"/>
      <c r="AB168" s="17"/>
      <c r="AC168" s="17"/>
      <c r="AD168" s="17"/>
    </row>
    <row r="169" spans="2:30" x14ac:dyDescent="0.3">
      <c r="B169" s="17" t="s">
        <v>18</v>
      </c>
      <c r="C169" s="17" t="s">
        <v>10</v>
      </c>
      <c r="D169" s="33">
        <v>2027</v>
      </c>
      <c r="E169" s="17">
        <v>0.55200000000000005</v>
      </c>
      <c r="F169" s="33">
        <v>4</v>
      </c>
      <c r="G169" s="17">
        <f>F169*0.0036</f>
        <v>1.44E-2</v>
      </c>
    </row>
    <row r="170" spans="2:30" x14ac:dyDescent="0.3">
      <c r="B170" s="17" t="s">
        <v>18</v>
      </c>
      <c r="C170" s="17" t="s">
        <v>10</v>
      </c>
      <c r="D170" s="33">
        <v>2028</v>
      </c>
      <c r="E170" s="17">
        <v>0.37581999999999999</v>
      </c>
      <c r="F170" s="33">
        <v>3</v>
      </c>
      <c r="G170" s="17">
        <f>F170*0.0036</f>
        <v>1.0800000000000001E-2</v>
      </c>
    </row>
    <row r="171" spans="2:30" x14ac:dyDescent="0.3">
      <c r="B171" s="17" t="s">
        <v>18</v>
      </c>
      <c r="C171" s="17" t="s">
        <v>10</v>
      </c>
      <c r="D171" s="33">
        <v>2028</v>
      </c>
      <c r="E171" s="17">
        <v>0.14380999999999999</v>
      </c>
      <c r="F171" s="33">
        <v>1</v>
      </c>
      <c r="G171" s="17">
        <f>F171*0.0036</f>
        <v>3.5999999999999999E-3</v>
      </c>
    </row>
    <row r="172" spans="2:30" x14ac:dyDescent="0.3">
      <c r="B172" t="s">
        <v>18</v>
      </c>
      <c r="C172" t="s">
        <v>10</v>
      </c>
      <c r="D172" s="20">
        <v>2028</v>
      </c>
      <c r="E172">
        <v>0.15318000000000001</v>
      </c>
      <c r="F172" s="20">
        <v>1</v>
      </c>
      <c r="G172">
        <f>F172*0.0036</f>
        <v>3.5999999999999999E-3</v>
      </c>
    </row>
    <row r="173" spans="2:30" x14ac:dyDescent="0.3">
      <c r="B173" t="s">
        <v>18</v>
      </c>
      <c r="C173" t="s">
        <v>10</v>
      </c>
      <c r="D173" s="20">
        <v>2030</v>
      </c>
      <c r="E173">
        <v>1</v>
      </c>
      <c r="F173" s="20">
        <v>2</v>
      </c>
      <c r="G173">
        <f>F173*0.0036</f>
        <v>7.1999999999999998E-3</v>
      </c>
    </row>
    <row r="174" spans="2:30" x14ac:dyDescent="0.3">
      <c r="B174" t="s">
        <v>18</v>
      </c>
      <c r="C174" t="s">
        <v>10</v>
      </c>
      <c r="D174" s="20">
        <v>2030</v>
      </c>
      <c r="E174">
        <v>0.49480000000000002</v>
      </c>
      <c r="F174" s="20">
        <v>6</v>
      </c>
      <c r="G174">
        <f>F174*0.0036</f>
        <v>2.1600000000000001E-2</v>
      </c>
    </row>
    <row r="175" spans="2:30" x14ac:dyDescent="0.3">
      <c r="B175" t="s">
        <v>18</v>
      </c>
      <c r="C175" t="s">
        <v>10</v>
      </c>
      <c r="D175" s="20">
        <v>2033</v>
      </c>
      <c r="E175">
        <v>1.8</v>
      </c>
      <c r="F175" s="20">
        <v>54</v>
      </c>
      <c r="G175">
        <f>F175*0.0036</f>
        <v>0.19439999999999999</v>
      </c>
    </row>
    <row r="176" spans="2:30" x14ac:dyDescent="0.3">
      <c r="B176" t="s">
        <v>18</v>
      </c>
      <c r="C176" t="s">
        <v>10</v>
      </c>
      <c r="D176" s="20">
        <v>2030</v>
      </c>
      <c r="E176">
        <v>2.7280000000000002</v>
      </c>
      <c r="F176" s="20">
        <v>75</v>
      </c>
      <c r="G176">
        <f>F176*0.0036</f>
        <v>0.27</v>
      </c>
    </row>
    <row r="178" spans="2:7" x14ac:dyDescent="0.3">
      <c r="B178" s="25" t="s">
        <v>89</v>
      </c>
      <c r="C178" s="25"/>
      <c r="D178" s="25"/>
      <c r="E178" s="25"/>
      <c r="F178" s="23"/>
      <c r="G178" s="23"/>
    </row>
    <row r="179" spans="2:7" x14ac:dyDescent="0.3">
      <c r="B179" s="10" t="s">
        <v>2</v>
      </c>
      <c r="C179" s="10" t="s">
        <v>3</v>
      </c>
      <c r="D179" s="10" t="s">
        <v>53</v>
      </c>
      <c r="E179" s="10" t="s">
        <v>54</v>
      </c>
      <c r="F179" s="10" t="s">
        <v>66</v>
      </c>
      <c r="G179" s="10" t="s">
        <v>90</v>
      </c>
    </row>
    <row r="180" spans="2:7" x14ac:dyDescent="0.3">
      <c r="B180" t="s">
        <v>5</v>
      </c>
      <c r="C180" t="s">
        <v>65</v>
      </c>
      <c r="D180">
        <v>2034</v>
      </c>
      <c r="E180">
        <v>9.7000000000000003E-2</v>
      </c>
      <c r="F180" t="s">
        <v>67</v>
      </c>
      <c r="G180" t="s">
        <v>92</v>
      </c>
    </row>
    <row r="181" spans="2:7" x14ac:dyDescent="0.3">
      <c r="B181" t="s">
        <v>5</v>
      </c>
      <c r="C181" t="s">
        <v>88</v>
      </c>
      <c r="D181">
        <v>2034</v>
      </c>
      <c r="E181">
        <v>0.5</v>
      </c>
      <c r="F181" t="s">
        <v>68</v>
      </c>
      <c r="G181" t="s">
        <v>92</v>
      </c>
    </row>
    <row r="182" spans="2:7" x14ac:dyDescent="0.3">
      <c r="B182" t="s">
        <v>12</v>
      </c>
      <c r="C182" t="s">
        <v>65</v>
      </c>
      <c r="D182">
        <v>2034</v>
      </c>
      <c r="E182">
        <v>0.84</v>
      </c>
      <c r="F182" t="s">
        <v>69</v>
      </c>
      <c r="G182" t="s">
        <v>92</v>
      </c>
    </row>
    <row r="183" spans="2:7" x14ac:dyDescent="0.3">
      <c r="B183" t="s">
        <v>17</v>
      </c>
      <c r="C183" t="s">
        <v>88</v>
      </c>
      <c r="D183">
        <v>2034</v>
      </c>
      <c r="E183">
        <v>8.4000000000000005E-2</v>
      </c>
      <c r="F183" t="s">
        <v>70</v>
      </c>
      <c r="G183" t="s">
        <v>92</v>
      </c>
    </row>
    <row r="184" spans="2:7" x14ac:dyDescent="0.3">
      <c r="B184" t="s">
        <v>17</v>
      </c>
      <c r="C184" t="s">
        <v>88</v>
      </c>
      <c r="D184">
        <v>2031</v>
      </c>
      <c r="E184">
        <v>0.16200000000000001</v>
      </c>
      <c r="F184" t="s">
        <v>71</v>
      </c>
      <c r="G184" t="s">
        <v>93</v>
      </c>
    </row>
    <row r="185" spans="2:7" x14ac:dyDescent="0.3">
      <c r="B185" t="s">
        <v>17</v>
      </c>
      <c r="C185" t="s">
        <v>88</v>
      </c>
      <c r="D185">
        <v>2034</v>
      </c>
      <c r="E185">
        <v>0.127</v>
      </c>
      <c r="F185" t="s">
        <v>72</v>
      </c>
      <c r="G185" t="s">
        <v>92</v>
      </c>
    </row>
    <row r="186" spans="2:7" x14ac:dyDescent="0.3">
      <c r="B186" t="s">
        <v>38</v>
      </c>
      <c r="C186" t="s">
        <v>88</v>
      </c>
      <c r="D186">
        <v>2034</v>
      </c>
      <c r="E186">
        <v>8.3000000000000004E-2</v>
      </c>
      <c r="F186" t="s">
        <v>73</v>
      </c>
      <c r="G186" t="s">
        <v>92</v>
      </c>
    </row>
    <row r="187" spans="2:7" x14ac:dyDescent="0.3">
      <c r="B187" t="s">
        <v>38</v>
      </c>
      <c r="C187" t="s">
        <v>88</v>
      </c>
      <c r="D187">
        <v>2025</v>
      </c>
      <c r="E187">
        <v>0.06</v>
      </c>
      <c r="F187" t="s">
        <v>74</v>
      </c>
      <c r="G187" t="s">
        <v>93</v>
      </c>
    </row>
    <row r="188" spans="2:7" x14ac:dyDescent="0.3">
      <c r="B188" t="s">
        <v>38</v>
      </c>
      <c r="C188" t="s">
        <v>65</v>
      </c>
      <c r="D188">
        <v>2024</v>
      </c>
      <c r="E188">
        <v>9.4E-2</v>
      </c>
      <c r="F188" t="s">
        <v>75</v>
      </c>
      <c r="G188" t="s">
        <v>91</v>
      </c>
    </row>
    <row r="189" spans="2:7" x14ac:dyDescent="0.3">
      <c r="B189" t="s">
        <v>38</v>
      </c>
      <c r="C189" t="s">
        <v>65</v>
      </c>
      <c r="D189">
        <v>2034</v>
      </c>
      <c r="E189">
        <v>4.7E-2</v>
      </c>
      <c r="F189" t="s">
        <v>76</v>
      </c>
      <c r="G189" t="s">
        <v>92</v>
      </c>
    </row>
    <row r="190" spans="2:7" x14ac:dyDescent="0.3">
      <c r="B190" t="s">
        <v>30</v>
      </c>
      <c r="C190" t="s">
        <v>88</v>
      </c>
      <c r="D190">
        <v>2034</v>
      </c>
      <c r="E190">
        <v>0.08</v>
      </c>
      <c r="F190" t="s">
        <v>77</v>
      </c>
      <c r="G190" t="s">
        <v>92</v>
      </c>
    </row>
    <row r="191" spans="2:7" x14ac:dyDescent="0.3">
      <c r="B191" t="s">
        <v>31</v>
      </c>
      <c r="C191" t="s">
        <v>88</v>
      </c>
      <c r="D191">
        <v>2024</v>
      </c>
      <c r="E191">
        <v>0.16</v>
      </c>
      <c r="F191" t="s">
        <v>78</v>
      </c>
      <c r="G191" t="s">
        <v>91</v>
      </c>
    </row>
    <row r="192" spans="2:7" x14ac:dyDescent="0.3">
      <c r="B192" t="s">
        <v>32</v>
      </c>
      <c r="C192" t="s">
        <v>65</v>
      </c>
      <c r="D192">
        <v>2026</v>
      </c>
      <c r="E192">
        <v>5.5E-2</v>
      </c>
      <c r="F192" t="s">
        <v>79</v>
      </c>
      <c r="G192" t="s">
        <v>92</v>
      </c>
    </row>
    <row r="193" spans="2:7" x14ac:dyDescent="0.3">
      <c r="B193" t="s">
        <v>32</v>
      </c>
      <c r="C193" t="s">
        <v>88</v>
      </c>
      <c r="D193">
        <v>2038</v>
      </c>
      <c r="E193">
        <v>0.53</v>
      </c>
      <c r="F193" t="s">
        <v>80</v>
      </c>
      <c r="G193" t="s">
        <v>94</v>
      </c>
    </row>
    <row r="194" spans="2:7" x14ac:dyDescent="0.3">
      <c r="B194" t="s">
        <v>18</v>
      </c>
      <c r="C194" t="s">
        <v>88</v>
      </c>
      <c r="D194">
        <v>2034</v>
      </c>
      <c r="E194">
        <v>8.5999999999999993E-2</v>
      </c>
      <c r="F194" t="s">
        <v>81</v>
      </c>
      <c r="G194" t="s">
        <v>92</v>
      </c>
    </row>
    <row r="195" spans="2:7" x14ac:dyDescent="0.3">
      <c r="B195" t="s">
        <v>33</v>
      </c>
      <c r="C195" t="s">
        <v>88</v>
      </c>
      <c r="D195">
        <v>2026</v>
      </c>
      <c r="E195">
        <v>0.11</v>
      </c>
      <c r="F195" t="s">
        <v>82</v>
      </c>
      <c r="G195" t="s">
        <v>94</v>
      </c>
    </row>
    <row r="196" spans="2:7" x14ac:dyDescent="0.3">
      <c r="B196" t="s">
        <v>33</v>
      </c>
      <c r="C196" t="s">
        <v>88</v>
      </c>
      <c r="D196">
        <v>2032</v>
      </c>
      <c r="E196">
        <v>0.15</v>
      </c>
      <c r="F196" t="s">
        <v>83</v>
      </c>
      <c r="G196" t="s">
        <v>94</v>
      </c>
    </row>
    <row r="197" spans="2:7" x14ac:dyDescent="0.3">
      <c r="B197" t="s">
        <v>33</v>
      </c>
      <c r="C197" t="s">
        <v>88</v>
      </c>
      <c r="D197">
        <v>2031</v>
      </c>
      <c r="E197">
        <v>0.08</v>
      </c>
      <c r="F197" t="s">
        <v>84</v>
      </c>
      <c r="G197" t="s">
        <v>94</v>
      </c>
    </row>
    <row r="198" spans="2:7" x14ac:dyDescent="0.3">
      <c r="B198" t="s">
        <v>33</v>
      </c>
      <c r="C198" t="s">
        <v>65</v>
      </c>
      <c r="D198">
        <v>2030</v>
      </c>
      <c r="E198">
        <v>4.8000000000000001E-2</v>
      </c>
      <c r="F198" t="s">
        <v>85</v>
      </c>
      <c r="G198" t="s">
        <v>92</v>
      </c>
    </row>
    <row r="199" spans="2:7" x14ac:dyDescent="0.3">
      <c r="B199" t="s">
        <v>39</v>
      </c>
      <c r="C199" t="s">
        <v>88</v>
      </c>
      <c r="D199">
        <v>2034</v>
      </c>
      <c r="E199">
        <v>0.11799999999999999</v>
      </c>
      <c r="F199" t="s">
        <v>86</v>
      </c>
      <c r="G199" t="s">
        <v>92</v>
      </c>
    </row>
    <row r="200" spans="2:7" ht="15" customHeight="1" x14ac:dyDescent="0.3">
      <c r="B200" t="s">
        <v>39</v>
      </c>
      <c r="C200" t="s">
        <v>88</v>
      </c>
      <c r="D200">
        <v>2034</v>
      </c>
      <c r="E200">
        <v>0.08</v>
      </c>
      <c r="F200" t="s">
        <v>87</v>
      </c>
      <c r="G200" t="s">
        <v>92</v>
      </c>
    </row>
    <row r="230" ht="14.4" customHeight="1" x14ac:dyDescent="0.3"/>
    <row r="250" spans="8:11" ht="14.4" customHeight="1" x14ac:dyDescent="0.3">
      <c r="H250" s="22"/>
      <c r="I250" s="22"/>
      <c r="J250" s="22"/>
      <c r="K250" s="22"/>
    </row>
    <row r="261" spans="9:13" x14ac:dyDescent="0.3">
      <c r="I261" s="17"/>
      <c r="J261" s="17"/>
      <c r="K261" s="17"/>
      <c r="L261" s="17"/>
      <c r="M261" s="17"/>
    </row>
    <row r="262" spans="9:13" x14ac:dyDescent="0.3">
      <c r="I262" s="17"/>
      <c r="J262" s="17"/>
      <c r="K262" s="17"/>
      <c r="L262" s="17"/>
      <c r="M262" s="17"/>
    </row>
    <row r="263" spans="9:13" x14ac:dyDescent="0.3">
      <c r="I263" s="17"/>
      <c r="J263" s="17"/>
      <c r="K263" s="17"/>
      <c r="L263" s="17"/>
      <c r="M263" s="17"/>
    </row>
    <row r="264" spans="9:13" x14ac:dyDescent="0.3">
      <c r="I264" s="17"/>
      <c r="J264" s="17"/>
      <c r="K264" s="17"/>
      <c r="L264" s="17"/>
      <c r="M264" s="17"/>
    </row>
    <row r="265" spans="9:13" x14ac:dyDescent="0.3">
      <c r="I265" s="17"/>
      <c r="J265" s="17"/>
      <c r="K265" s="17"/>
      <c r="L265" s="17"/>
      <c r="M265" s="17"/>
    </row>
    <row r="266" spans="9:13" x14ac:dyDescent="0.3">
      <c r="I266" s="17"/>
      <c r="J266" s="17"/>
      <c r="K266" s="17"/>
      <c r="L266" s="17"/>
      <c r="M266" s="17"/>
    </row>
    <row r="267" spans="9:13" x14ac:dyDescent="0.3">
      <c r="I267" s="17"/>
      <c r="J267" s="17"/>
      <c r="K267" s="17"/>
      <c r="L267" s="17"/>
      <c r="M267" s="17"/>
    </row>
    <row r="268" spans="9:13" x14ac:dyDescent="0.3">
      <c r="I268" s="17"/>
      <c r="J268" s="17"/>
      <c r="K268" s="17"/>
      <c r="L268" s="17"/>
      <c r="M268" s="17"/>
    </row>
    <row r="269" spans="9:13" x14ac:dyDescent="0.3">
      <c r="I269" s="17"/>
      <c r="J269" s="17"/>
      <c r="K269" s="17"/>
      <c r="L269" s="17"/>
      <c r="M269" s="17"/>
    </row>
  </sheetData>
  <autoFilter ref="A17:G31" xr:uid="{8A78E568-6F8E-44B1-BDE9-8444E598D0CA}">
    <sortState ref="A18:G31">
      <sortCondition sortBy="cellColor" ref="C17:C31" dxfId="5"/>
    </sortState>
  </autoFilter>
  <mergeCells count="6">
    <mergeCell ref="B178:E178"/>
    <mergeCell ref="B142:F142"/>
    <mergeCell ref="B3:K3"/>
    <mergeCell ref="B92:D92"/>
    <mergeCell ref="B34:D34"/>
    <mergeCell ref="B122:E122"/>
  </mergeCells>
  <conditionalFormatting sqref="D18:G31">
    <cfRule type="cellIs" dxfId="1" priority="2" operator="between">
      <formula>0</formula>
      <formula>0</formula>
    </cfRule>
  </conditionalFormatting>
  <hyperlinks>
    <hyperlink ref="B5" r:id="rId1" xr:uid="{3A987A55-6D03-484B-A55F-344CC1BAB7AD}"/>
    <hyperlink ref="B6" r:id="rId2" location="summary " xr:uid="{F6BC6E77-658D-4444-BFA2-8AD6F56D3DF9}"/>
    <hyperlink ref="B9" r:id="rId3" display="https://pris.iaea.org/PRIS/CountryStatistics/CountryDetails.aspx?current=SK" xr:uid="{0DC66EE0-79FA-4869-92C2-49C0654C6419}"/>
    <hyperlink ref="B10" r:id="rId4" xr:uid="{513094D0-8939-4BDC-AA2E-D3C01869E099}"/>
    <hyperlink ref="B7" r:id="rId5" xr:uid="{989652FB-C800-42E7-8001-43B6B8039441}"/>
    <hyperlink ref="B8" r:id="rId6" xr:uid="{B541E835-C63C-43AB-AFC0-7731BBCC6595}"/>
    <hyperlink ref="B11" r:id="rId7" xr:uid="{D8E3EE3F-5342-43B1-BC1F-260C73CF99FC}"/>
  </hyperlinks>
  <pageMargins left="0.7" right="0.7" top="0.75" bottom="0.75" header="0.3" footer="0.3"/>
  <pageSetup orientation="portrait" r:id="rId8"/>
  <legacy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2025-08-25T12:26:37Z</dcterms:modified>
</cp:coreProperties>
</file>