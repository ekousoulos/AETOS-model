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F4CA2B8F-E10F-4223-9237-C9A7BACAFC4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24" i="1"/>
  <c r="J13" i="1"/>
  <c r="I14" i="1"/>
  <c r="I15" i="1"/>
  <c r="I16" i="1"/>
  <c r="I17" i="1"/>
  <c r="I18" i="1"/>
  <c r="I19" i="1"/>
  <c r="I20" i="1"/>
  <c r="I21" i="1"/>
  <c r="I22" i="1"/>
  <c r="I23" i="1"/>
  <c r="I24" i="1"/>
  <c r="I13" i="1"/>
  <c r="H14" i="1"/>
  <c r="H15" i="1"/>
  <c r="H16" i="1"/>
  <c r="H17" i="1"/>
  <c r="H18" i="1"/>
  <c r="H19" i="1"/>
  <c r="H20" i="1"/>
  <c r="H21" i="1"/>
  <c r="H22" i="1"/>
  <c r="H23" i="1"/>
  <c r="H24" i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B16" authorId="0" shapeId="0" xr:uid="{246DB76E-80AB-41E8-8D2C-F64C8BB8BAE0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Motor Gasoline</t>
        </r>
      </text>
    </comment>
    <comment ref="G16" authorId="0" shapeId="0" xr:uid="{E8066A6B-8499-4515-91D2-82C73BA08394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Motor Gasoline</t>
        </r>
      </text>
    </comment>
    <comment ref="B18" authorId="0" shapeId="0" xr:uid="{B821D6C7-01C7-4FE3-95A0-F557BE731B05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Municipal non biomass fraction</t>
        </r>
      </text>
    </comment>
    <comment ref="G18" authorId="0" shapeId="0" xr:uid="{69EFC683-1E2B-4284-945A-86FC068AB1E9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Municipal non biomass fraction</t>
        </r>
      </text>
    </comment>
    <comment ref="B20" authorId="0" shapeId="0" xr:uid="{E0D9936D-C788-4683-8A2E-844D015CC755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Bitominous Coal</t>
        </r>
      </text>
    </comment>
    <comment ref="G20" authorId="0" shapeId="0" xr:uid="{316E0AAF-5591-4347-B382-6732598FE02B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Bitominous Coal</t>
        </r>
      </text>
    </comment>
    <comment ref="B21" authorId="0" shapeId="0" xr:uid="{130DB9D5-621C-4EA4-A8FD-7E05FA29FB5C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Primary Solid Biomass</t>
        </r>
      </text>
    </comment>
    <comment ref="G21" authorId="0" shapeId="0" xr:uid="{5F4B13D8-C869-4445-8BFC-893B2A55ED11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Primary Solid Biomass</t>
        </r>
      </text>
    </comment>
    <comment ref="B22" authorId="0" shapeId="0" xr:uid="{6FE39335-ED31-486B-8896-56786F09DFDA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Gas Biomass - Other Biogas</t>
        </r>
      </text>
    </comment>
    <comment ref="G22" authorId="0" shapeId="0" xr:uid="{3BCF09AF-A49D-4985-BAFE-4BB4E0B636F6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Gas Biomass - Other Biogas</t>
        </r>
      </text>
    </comment>
    <comment ref="B23" authorId="0" shapeId="0" xr:uid="{31407325-46CD-4811-B898-74922F604755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Coke Oven Gas</t>
        </r>
      </text>
    </comment>
    <comment ref="G23" authorId="0" shapeId="0" xr:uid="{41924311-713F-4C55-B89E-22B154711206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Coke Oven Gas</t>
        </r>
      </text>
    </comment>
    <comment ref="B24" authorId="0" shapeId="0" xr:uid="{08C05DA2-6D1A-4BF8-B322-30F572C1D06D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Oil - Refinery Gas</t>
        </r>
      </text>
    </comment>
    <comment ref="G24" authorId="0" shapeId="0" xr:uid="{8014A726-4012-4D3B-ACF4-16C897268376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Oil - Refinery Gas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B11" authorId="0" shapeId="0" xr:uid="{F242570B-0899-438C-89E4-EEC0DC5F4AED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Motor Gasoline</t>
        </r>
      </text>
    </comment>
    <comment ref="B13" authorId="0" shapeId="0" xr:uid="{A360C367-C973-4653-A4F3-76E9359F2CBF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Municipal non biomass fraction</t>
        </r>
      </text>
    </comment>
    <comment ref="B15" authorId="0" shapeId="0" xr:uid="{C04C977D-CF09-4ACB-B419-298DBF94C4D1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Bitominous Coal</t>
        </r>
      </text>
    </comment>
    <comment ref="B16" authorId="0" shapeId="0" xr:uid="{0122F3DC-FD9D-48FB-80D1-DFC660EF9BD7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Primary Solid Biomass</t>
        </r>
      </text>
    </comment>
    <comment ref="B17" authorId="0" shapeId="0" xr:uid="{881A6177-EDF2-43D9-8445-AA200F596143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Gas Biomass - Other Biogas</t>
        </r>
      </text>
    </comment>
    <comment ref="B18" authorId="0" shapeId="0" xr:uid="{1DE863B5-1AD0-4C84-ABA0-1282641EEE08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Coke Oven Gas</t>
        </r>
      </text>
    </comment>
    <comment ref="B19" authorId="0" shapeId="0" xr:uid="{1EF99AED-56D9-45D9-8570-54090C397080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Other Oil - Refinery Gas</t>
        </r>
      </text>
    </comment>
  </commentList>
</comments>
</file>

<file path=xl/sharedStrings.xml><?xml version="1.0" encoding="utf-8"?>
<sst xmlns="http://schemas.openxmlformats.org/spreadsheetml/2006/main" count="59" uniqueCount="30">
  <si>
    <t>Infobox</t>
  </si>
  <si>
    <t xml:space="preserve">Source: </t>
  </si>
  <si>
    <t>Biomass</t>
  </si>
  <si>
    <t>Comments:</t>
  </si>
  <si>
    <t xml:space="preserve">LPG </t>
  </si>
  <si>
    <t>Natural Gas</t>
  </si>
  <si>
    <t>Fuels</t>
  </si>
  <si>
    <t>Fuel Emission Factors</t>
  </si>
  <si>
    <t>https://www.ipcc-nggip.iges.or.jp/public/2006gl/pdf/2_Volume2/V2_2_Ch2_Stationary_Combustion.pdf</t>
  </si>
  <si>
    <t>Gas/Diesel Oil</t>
  </si>
  <si>
    <t>Default Emission Factor values were used</t>
  </si>
  <si>
    <t>Fuel Emission Factors (kg/TJ)</t>
  </si>
  <si>
    <t>CO2</t>
  </si>
  <si>
    <t>CH4</t>
  </si>
  <si>
    <t>N2O</t>
  </si>
  <si>
    <t>Lignite</t>
  </si>
  <si>
    <t>Coal and Peat</t>
  </si>
  <si>
    <t>Biogas</t>
  </si>
  <si>
    <t>Derived Gas</t>
  </si>
  <si>
    <t>Refinery Gas</t>
  </si>
  <si>
    <t>Waste</t>
  </si>
  <si>
    <t>Fuel Oil (HFO)</t>
  </si>
  <si>
    <t>Gasoline (LFO)</t>
  </si>
  <si>
    <t xml:space="preserve">Fuel Emission Factors </t>
  </si>
  <si>
    <t>CO2 (Mtn/PJ</t>
  </si>
  <si>
    <t>CH4 (ktn/PJ)</t>
  </si>
  <si>
    <t>N2O (ktn/PJ)</t>
  </si>
  <si>
    <t>Converted into Mtn/PJ anf ktn/PJ</t>
  </si>
  <si>
    <t>Biogas (BF)</t>
  </si>
  <si>
    <t>GO, NU, TI, OCWV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</si>
</sst>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2" fillId="2" borderId="3" xfId="0" applyFont="1" applyFill="1" applyBorder="1" applyAlignment="1">
      <alignment vertical="top"/>
    </xf>
    <xf numFmtId="0" fontId="5" fillId="2" borderId="0" xfId="1" applyFill="1" applyBorder="1" applyAlignment="1">
      <alignment vertical="top" wrapText="1"/>
    </xf>
    <xf numFmtId="0" fontId="0" fillId="0" borderId="0" xfId="0" applyFill="1"/>
    <xf numFmtId="0" fontId="5" fillId="2" borderId="3" xfId="1" applyFill="1" applyBorder="1" applyAlignment="1">
      <alignment vertical="top"/>
    </xf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ipcc-nggip.iges.or.jp/public/2006gl/pdf/2_Volume2/V2_2_Ch2_Stationary_Combustion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4"/>
  <sheetViews>
    <sheetView tabSelected="1" zoomScale="79" zoomScaleNormal="100" workbookViewId="0">
      <selection activeCell="G30" sqref="G30"/>
    </sheetView>
  </sheetViews>
  <sheetFormatPr defaultRowHeight="14.4" x14ac:dyDescent="0.3"/>
  <cols>
    <col min="2" max="2" width="18.33203125" customWidth="1"/>
    <col min="3" max="3" width="9.6640625" customWidth="1"/>
    <col min="4" max="4" width="10" bestFit="1" customWidth="1"/>
    <col min="7" max="7" width="19.88671875" customWidth="1"/>
    <col min="8" max="8" width="11.88671875" bestFit="1" customWidth="1"/>
    <col min="9" max="9" width="11.6640625" bestFit="1" customWidth="1"/>
    <col min="10" max="10" width="12.109375" bestFit="1" customWidth="1"/>
  </cols>
  <sheetData>
    <row r="2" spans="1:12" ht="28.8" x14ac:dyDescent="0.55000000000000004">
      <c r="B2" s="3" t="s">
        <v>7</v>
      </c>
      <c r="C2" s="4"/>
      <c r="D2" s="4"/>
      <c r="E2" s="4"/>
      <c r="F2" s="4"/>
      <c r="G2" s="4"/>
      <c r="H2" s="4"/>
      <c r="I2" s="4"/>
      <c r="J2" s="4"/>
      <c r="K2" s="4"/>
      <c r="L2" s="1"/>
    </row>
    <row r="3" spans="1:12" x14ac:dyDescent="0.3">
      <c r="A3" s="2"/>
      <c r="B3" s="17" t="s">
        <v>0</v>
      </c>
      <c r="C3" s="18"/>
      <c r="D3" s="18"/>
      <c r="E3" s="18"/>
      <c r="F3" s="18"/>
      <c r="G3" s="18"/>
      <c r="H3" s="18"/>
      <c r="I3" s="18"/>
      <c r="J3" s="18"/>
      <c r="K3" s="19"/>
    </row>
    <row r="4" spans="1:12" x14ac:dyDescent="0.3">
      <c r="A4" s="2"/>
      <c r="B4" s="13" t="s">
        <v>1</v>
      </c>
      <c r="C4" s="7"/>
      <c r="D4" s="7"/>
      <c r="E4" s="7"/>
      <c r="F4" s="7"/>
      <c r="G4" s="7"/>
      <c r="H4" s="7"/>
      <c r="I4" s="7"/>
      <c r="J4" s="7"/>
      <c r="K4" s="5"/>
    </row>
    <row r="5" spans="1:12" x14ac:dyDescent="0.3">
      <c r="A5" s="2"/>
      <c r="B5" s="16" t="s">
        <v>8</v>
      </c>
      <c r="C5" s="7"/>
      <c r="D5" s="7"/>
      <c r="E5" s="7"/>
      <c r="F5" s="7"/>
      <c r="G5" s="7"/>
      <c r="H5" s="7"/>
      <c r="I5" s="7"/>
      <c r="J5" s="7"/>
      <c r="K5" s="5"/>
    </row>
    <row r="6" spans="1:12" x14ac:dyDescent="0.3">
      <c r="A6" s="2"/>
      <c r="B6" s="13"/>
      <c r="C6" s="14"/>
      <c r="D6" s="7"/>
      <c r="E6" s="7"/>
      <c r="F6" s="7"/>
      <c r="G6" s="7"/>
      <c r="H6" s="7"/>
      <c r="I6" s="7"/>
      <c r="J6" s="7"/>
      <c r="K6" s="5"/>
    </row>
    <row r="7" spans="1:12" x14ac:dyDescent="0.3">
      <c r="A7" s="2"/>
      <c r="B7" s="13" t="s">
        <v>3</v>
      </c>
      <c r="C7" s="7"/>
      <c r="D7" s="7"/>
      <c r="E7" s="7"/>
      <c r="F7" s="7"/>
      <c r="G7" s="7"/>
      <c r="H7" s="7"/>
      <c r="I7" s="7"/>
      <c r="J7" s="7"/>
      <c r="K7" s="5"/>
    </row>
    <row r="8" spans="1:12" x14ac:dyDescent="0.3">
      <c r="A8" s="2"/>
      <c r="B8" s="6" t="s">
        <v>10</v>
      </c>
      <c r="C8" s="7"/>
      <c r="D8" s="7"/>
      <c r="E8" s="7"/>
      <c r="F8" s="7"/>
      <c r="G8" s="7"/>
      <c r="H8" s="7"/>
      <c r="I8" s="7"/>
      <c r="J8" s="7"/>
      <c r="K8" s="5"/>
    </row>
    <row r="9" spans="1:12" x14ac:dyDescent="0.3">
      <c r="A9" s="2"/>
      <c r="B9" s="8" t="s">
        <v>27</v>
      </c>
      <c r="C9" s="9"/>
      <c r="D9" s="9"/>
      <c r="E9" s="9"/>
      <c r="F9" s="9"/>
      <c r="G9" s="9"/>
      <c r="H9" s="9"/>
      <c r="I9" s="9"/>
      <c r="J9" s="9"/>
      <c r="K9" s="10"/>
    </row>
    <row r="11" spans="1:12" x14ac:dyDescent="0.3">
      <c r="B11" s="11" t="s">
        <v>11</v>
      </c>
      <c r="C11" s="12"/>
      <c r="D11" s="12"/>
      <c r="E11" s="11"/>
      <c r="G11" s="11" t="s">
        <v>23</v>
      </c>
      <c r="H11" s="12"/>
      <c r="I11" s="12"/>
      <c r="J11" s="11"/>
    </row>
    <row r="12" spans="1:12" x14ac:dyDescent="0.3">
      <c r="B12" s="11" t="s">
        <v>6</v>
      </c>
      <c r="C12" s="11" t="s">
        <v>12</v>
      </c>
      <c r="D12" s="11" t="s">
        <v>13</v>
      </c>
      <c r="E12" s="11" t="s">
        <v>14</v>
      </c>
      <c r="G12" s="11" t="s">
        <v>6</v>
      </c>
      <c r="H12" s="11" t="s">
        <v>24</v>
      </c>
      <c r="I12" s="11" t="s">
        <v>25</v>
      </c>
      <c r="J12" s="11" t="s">
        <v>26</v>
      </c>
    </row>
    <row r="13" spans="1:12" x14ac:dyDescent="0.3">
      <c r="B13" t="s">
        <v>9</v>
      </c>
      <c r="C13">
        <v>74100</v>
      </c>
      <c r="D13">
        <v>3</v>
      </c>
      <c r="E13">
        <v>0.6</v>
      </c>
      <c r="G13" t="s">
        <v>9</v>
      </c>
      <c r="H13">
        <f>C13/1000000</f>
        <v>7.4099999999999999E-2</v>
      </c>
      <c r="I13">
        <f>D13/1000</f>
        <v>3.0000000000000001E-3</v>
      </c>
      <c r="J13">
        <f>E13/1000</f>
        <v>5.9999999999999995E-4</v>
      </c>
    </row>
    <row r="14" spans="1:12" x14ac:dyDescent="0.3">
      <c r="B14" t="s">
        <v>4</v>
      </c>
      <c r="C14">
        <v>63100</v>
      </c>
      <c r="D14">
        <v>1</v>
      </c>
      <c r="E14">
        <v>0.1</v>
      </c>
      <c r="G14" t="s">
        <v>4</v>
      </c>
      <c r="H14">
        <f t="shared" ref="H14:H24" si="0">C14/1000000</f>
        <v>6.3100000000000003E-2</v>
      </c>
      <c r="I14">
        <f t="shared" ref="I14:I24" si="1">D14/1000</f>
        <v>1E-3</v>
      </c>
      <c r="J14">
        <f t="shared" ref="J14:J24" si="2">E14/1000</f>
        <v>1E-4</v>
      </c>
    </row>
    <row r="15" spans="1:12" x14ac:dyDescent="0.3">
      <c r="B15" t="s">
        <v>21</v>
      </c>
      <c r="C15">
        <v>77400</v>
      </c>
      <c r="D15">
        <v>3</v>
      </c>
      <c r="E15">
        <v>0.6</v>
      </c>
      <c r="G15" t="s">
        <v>21</v>
      </c>
      <c r="H15">
        <f t="shared" si="0"/>
        <v>7.7399999999999997E-2</v>
      </c>
      <c r="I15">
        <f t="shared" si="1"/>
        <v>3.0000000000000001E-3</v>
      </c>
      <c r="J15">
        <f t="shared" si="2"/>
        <v>5.9999999999999995E-4</v>
      </c>
    </row>
    <row r="16" spans="1:12" x14ac:dyDescent="0.3">
      <c r="B16" t="s">
        <v>22</v>
      </c>
      <c r="C16">
        <v>69300</v>
      </c>
      <c r="D16">
        <v>10</v>
      </c>
      <c r="E16">
        <v>0.6</v>
      </c>
      <c r="G16" t="s">
        <v>22</v>
      </c>
      <c r="H16">
        <f t="shared" si="0"/>
        <v>6.93E-2</v>
      </c>
      <c r="I16">
        <f t="shared" si="1"/>
        <v>0.01</v>
      </c>
      <c r="J16">
        <f t="shared" si="2"/>
        <v>5.9999999999999995E-4</v>
      </c>
    </row>
    <row r="17" spans="2:10" x14ac:dyDescent="0.3">
      <c r="B17" t="s">
        <v>5</v>
      </c>
      <c r="C17">
        <v>56100</v>
      </c>
      <c r="D17">
        <v>1</v>
      </c>
      <c r="E17">
        <v>0.1</v>
      </c>
      <c r="G17" t="s">
        <v>5</v>
      </c>
      <c r="H17">
        <f t="shared" si="0"/>
        <v>5.6099999999999997E-2</v>
      </c>
      <c r="I17">
        <f t="shared" si="1"/>
        <v>1E-3</v>
      </c>
      <c r="J17">
        <f t="shared" si="2"/>
        <v>1E-4</v>
      </c>
    </row>
    <row r="18" spans="2:10" x14ac:dyDescent="0.3">
      <c r="B18" t="s">
        <v>20</v>
      </c>
      <c r="C18">
        <v>91700</v>
      </c>
      <c r="D18">
        <v>30</v>
      </c>
      <c r="E18">
        <v>4</v>
      </c>
      <c r="G18" t="s">
        <v>20</v>
      </c>
      <c r="H18">
        <f t="shared" si="0"/>
        <v>9.1700000000000004E-2</v>
      </c>
      <c r="I18">
        <f t="shared" si="1"/>
        <v>0.03</v>
      </c>
      <c r="J18">
        <f t="shared" si="2"/>
        <v>4.0000000000000001E-3</v>
      </c>
    </row>
    <row r="19" spans="2:10" x14ac:dyDescent="0.3">
      <c r="B19" t="s">
        <v>15</v>
      </c>
      <c r="C19">
        <v>101000</v>
      </c>
      <c r="D19">
        <v>1</v>
      </c>
      <c r="E19">
        <v>3</v>
      </c>
      <c r="G19" t="s">
        <v>15</v>
      </c>
      <c r="H19">
        <f t="shared" si="0"/>
        <v>0.10100000000000001</v>
      </c>
      <c r="I19">
        <f t="shared" si="1"/>
        <v>1E-3</v>
      </c>
      <c r="J19">
        <f t="shared" si="2"/>
        <v>3.0000000000000001E-3</v>
      </c>
    </row>
    <row r="20" spans="2:10" x14ac:dyDescent="0.3">
      <c r="B20" t="s">
        <v>16</v>
      </c>
      <c r="C20">
        <v>94600</v>
      </c>
      <c r="D20">
        <v>1</v>
      </c>
      <c r="E20">
        <v>1.5</v>
      </c>
      <c r="G20" t="s">
        <v>16</v>
      </c>
      <c r="H20">
        <f t="shared" si="0"/>
        <v>9.4600000000000004E-2</v>
      </c>
      <c r="I20">
        <f t="shared" si="1"/>
        <v>1E-3</v>
      </c>
      <c r="J20">
        <f t="shared" si="2"/>
        <v>1.5E-3</v>
      </c>
    </row>
    <row r="21" spans="2:10" x14ac:dyDescent="0.3">
      <c r="B21" t="s">
        <v>2</v>
      </c>
      <c r="C21">
        <v>100000</v>
      </c>
      <c r="D21">
        <v>30</v>
      </c>
      <c r="E21">
        <v>4</v>
      </c>
      <c r="G21" t="s">
        <v>2</v>
      </c>
      <c r="H21">
        <f t="shared" si="0"/>
        <v>0.1</v>
      </c>
      <c r="I21">
        <f t="shared" si="1"/>
        <v>0.03</v>
      </c>
      <c r="J21">
        <f t="shared" si="2"/>
        <v>4.0000000000000001E-3</v>
      </c>
    </row>
    <row r="22" spans="2:10" x14ac:dyDescent="0.3">
      <c r="B22" t="s">
        <v>17</v>
      </c>
      <c r="C22">
        <v>54600</v>
      </c>
      <c r="D22">
        <v>5</v>
      </c>
      <c r="E22">
        <v>0.1</v>
      </c>
      <c r="G22" t="s">
        <v>17</v>
      </c>
      <c r="H22">
        <f t="shared" si="0"/>
        <v>5.4600000000000003E-2</v>
      </c>
      <c r="I22">
        <f t="shared" si="1"/>
        <v>5.0000000000000001E-3</v>
      </c>
      <c r="J22">
        <f t="shared" si="2"/>
        <v>1E-4</v>
      </c>
    </row>
    <row r="23" spans="2:10" x14ac:dyDescent="0.3">
      <c r="B23" s="15" t="s">
        <v>18</v>
      </c>
      <c r="C23">
        <v>44400</v>
      </c>
      <c r="D23">
        <v>1</v>
      </c>
      <c r="E23">
        <v>0.1</v>
      </c>
      <c r="G23" s="15" t="s">
        <v>18</v>
      </c>
      <c r="H23">
        <f t="shared" si="0"/>
        <v>4.4400000000000002E-2</v>
      </c>
      <c r="I23">
        <f t="shared" si="1"/>
        <v>1E-3</v>
      </c>
      <c r="J23">
        <f t="shared" si="2"/>
        <v>1E-4</v>
      </c>
    </row>
    <row r="24" spans="2:10" x14ac:dyDescent="0.3">
      <c r="B24" s="15" t="s">
        <v>19</v>
      </c>
      <c r="C24">
        <v>57000</v>
      </c>
      <c r="D24">
        <v>1</v>
      </c>
      <c r="E24">
        <v>0.1</v>
      </c>
      <c r="G24" s="15" t="s">
        <v>19</v>
      </c>
      <c r="H24">
        <f t="shared" si="0"/>
        <v>5.7000000000000002E-2</v>
      </c>
      <c r="I24">
        <f t="shared" si="1"/>
        <v>1E-3</v>
      </c>
      <c r="J24">
        <f t="shared" si="2"/>
        <v>1E-4</v>
      </c>
    </row>
  </sheetData>
  <mergeCells count="1">
    <mergeCell ref="B3:K3"/>
  </mergeCells>
  <conditionalFormatting sqref="B84">
    <cfRule type="duplicateValues" dxfId="1" priority="1"/>
    <cfRule type="duplicateValues" dxfId="0" priority="2"/>
  </conditionalFormatting>
  <hyperlinks>
    <hyperlink ref="B5" r:id="rId1" xr:uid="{45AE7007-94FA-44A3-82E8-85A6E110E4E1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5FE3-DFD2-4BA4-8869-72E200BC7754}">
  <dimension ref="B6:E21"/>
  <sheetViews>
    <sheetView workbookViewId="0">
      <selection activeCell="B7" sqref="B7:E12"/>
    </sheetView>
  </sheetViews>
  <sheetFormatPr defaultRowHeight="14.4" x14ac:dyDescent="0.3"/>
  <cols>
    <col min="2" max="2" width="19.33203125" bestFit="1" customWidth="1"/>
    <col min="3" max="3" width="11.77734375" bestFit="1" customWidth="1"/>
    <col min="4" max="4" width="11.5546875" bestFit="1" customWidth="1"/>
    <col min="5" max="5" width="11.88671875" bestFit="1" customWidth="1"/>
  </cols>
  <sheetData>
    <row r="6" spans="2:5" x14ac:dyDescent="0.3">
      <c r="B6" s="11" t="s">
        <v>23</v>
      </c>
      <c r="C6" s="12"/>
      <c r="D6" s="12"/>
      <c r="E6" s="11"/>
    </row>
    <row r="7" spans="2:5" x14ac:dyDescent="0.3">
      <c r="B7" s="11" t="s">
        <v>6</v>
      </c>
      <c r="C7" s="11" t="s">
        <v>24</v>
      </c>
      <c r="D7" s="11" t="s">
        <v>25</v>
      </c>
      <c r="E7" s="11" t="s">
        <v>26</v>
      </c>
    </row>
    <row r="8" spans="2:5" x14ac:dyDescent="0.3">
      <c r="B8" t="s">
        <v>9</v>
      </c>
      <c r="C8">
        <v>7.4099999999999999E-2</v>
      </c>
      <c r="D8">
        <v>3.0000000000000001E-3</v>
      </c>
      <c r="E8">
        <v>5.9999999999999995E-4</v>
      </c>
    </row>
    <row r="9" spans="2:5" x14ac:dyDescent="0.3">
      <c r="B9" t="s">
        <v>4</v>
      </c>
      <c r="C9">
        <v>6.3100000000000003E-2</v>
      </c>
      <c r="D9">
        <v>1E-3</v>
      </c>
      <c r="E9">
        <v>1E-4</v>
      </c>
    </row>
    <row r="10" spans="2:5" x14ac:dyDescent="0.3">
      <c r="B10" t="s">
        <v>21</v>
      </c>
      <c r="C10">
        <v>7.7399999999999997E-2</v>
      </c>
      <c r="D10">
        <v>3.0000000000000001E-3</v>
      </c>
      <c r="E10">
        <v>5.9999999999999995E-4</v>
      </c>
    </row>
    <row r="11" spans="2:5" x14ac:dyDescent="0.3">
      <c r="B11" t="s">
        <v>22</v>
      </c>
      <c r="C11">
        <v>6.93E-2</v>
      </c>
      <c r="D11">
        <v>0.01</v>
      </c>
      <c r="E11">
        <v>5.9999999999999995E-4</v>
      </c>
    </row>
    <row r="12" spans="2:5" x14ac:dyDescent="0.3">
      <c r="B12" t="s">
        <v>5</v>
      </c>
      <c r="C12">
        <v>5.6099999999999997E-2</v>
      </c>
      <c r="D12">
        <v>1E-3</v>
      </c>
      <c r="E12">
        <v>1E-4</v>
      </c>
    </row>
    <row r="13" spans="2:5" x14ac:dyDescent="0.3">
      <c r="B13" t="s">
        <v>20</v>
      </c>
      <c r="C13">
        <v>9.1700000000000004E-2</v>
      </c>
      <c r="D13">
        <v>0.03</v>
      </c>
      <c r="E13">
        <v>4.0000000000000001E-3</v>
      </c>
    </row>
    <row r="14" spans="2:5" x14ac:dyDescent="0.3">
      <c r="B14" t="s">
        <v>15</v>
      </c>
      <c r="C14">
        <v>0.10100000000000001</v>
      </c>
      <c r="D14">
        <v>1E-3</v>
      </c>
      <c r="E14">
        <v>3.0000000000000001E-3</v>
      </c>
    </row>
    <row r="15" spans="2:5" x14ac:dyDescent="0.3">
      <c r="B15" t="s">
        <v>16</v>
      </c>
      <c r="C15">
        <v>9.4600000000000004E-2</v>
      </c>
      <c r="D15">
        <v>1E-3</v>
      </c>
      <c r="E15">
        <v>1.5E-3</v>
      </c>
    </row>
    <row r="16" spans="2:5" x14ac:dyDescent="0.3">
      <c r="B16" t="s">
        <v>2</v>
      </c>
      <c r="C16">
        <v>0.1</v>
      </c>
      <c r="D16">
        <v>0.03</v>
      </c>
      <c r="E16">
        <v>4.0000000000000001E-3</v>
      </c>
    </row>
    <row r="17" spans="2:5" x14ac:dyDescent="0.3">
      <c r="B17" t="s">
        <v>28</v>
      </c>
      <c r="C17">
        <v>5.4600000000000003E-2</v>
      </c>
      <c r="D17">
        <v>5.0000000000000001E-3</v>
      </c>
      <c r="E17">
        <v>1E-4</v>
      </c>
    </row>
    <row r="18" spans="2:5" x14ac:dyDescent="0.3">
      <c r="B18" s="15" t="s">
        <v>18</v>
      </c>
      <c r="C18">
        <v>4.4400000000000002E-2</v>
      </c>
      <c r="D18">
        <v>1E-3</v>
      </c>
      <c r="E18">
        <v>1E-4</v>
      </c>
    </row>
    <row r="19" spans="2:5" x14ac:dyDescent="0.3">
      <c r="B19" s="15" t="s">
        <v>19</v>
      </c>
      <c r="C19">
        <v>5.7000000000000002E-2</v>
      </c>
      <c r="D19">
        <v>1E-3</v>
      </c>
      <c r="E19">
        <v>1E-4</v>
      </c>
    </row>
    <row r="21" spans="2:5" x14ac:dyDescent="0.3">
      <c r="B21" t="s">
        <v>29</v>
      </c>
      <c r="C21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2025-08-25T12:49:35Z</dcterms:modified>
</cp:coreProperties>
</file>